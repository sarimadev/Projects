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insurance_Trend" sheetId="1" r:id="rId4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<sst xmlns="http://schemas.openxmlformats.org/spreadsheetml/2006/main" count="9" uniqueCount="9">
  <si>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</si>
  <si>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</si>
  <si>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</si>
  <si>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UK_HPI_AvgMrktPrice (£)</t>
  </si>
  <si>
    <t>BCIS_Index_Change (%)</t>
  </si>
  <si>
    <t>Rebuild_Cost_Index</t>
  </si>
  <si>
    <t>Rebuild_Cost (£)</t>
  </si>
  <si>
    <t>Gap (£)</t>
  </si>
  <si>
    <t>%_Gap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</si>
</sst>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/&quot;yyyy"/>
    <numFmt numFmtId="165" formatCode="[$£]#,##0"/>
    <numFmt numFmtId="166" formatCode="0.0"/>
  </numFmts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164" xfId="0" applyFill="1" applyFont="1" applyNumberFormat="1"/>
    <xf borderId="0" fillId="2" fontId="1" numFmtId="0" xfId="0" applyFont="1"/>
    <xf borderId="0" fillId="2" fontId="1" numFmtId="165" xfId="0" applyAlignment="1" applyFont="1" applyNumberFormat="1">
      <alignment readingOrder="0"/>
    </xf>
    <xf borderId="0" fillId="2" fontId="1" numFmtId="10" xfId="0" applyFont="1" applyNumberFormat="1"/>
    <xf borderId="0" fillId="2" fontId="1" numFmtId="166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2" numFmtId="166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.43"/>
    <col customWidth="1" min="3" max="3" width="7.57"/>
    <col customWidth="1" min="4" max="4" width="25.43"/>
    <col customWidth="1" min="5" max="5" width="23.43"/>
    <col customWidth="1" min="6" max="6" width="20.0"/>
    <col customWidth="1" min="7" max="7" width="16.71"/>
    <col customWidth="1" min="8" max="8" width="8.0"/>
    <col customWidth="1" min="9" max="9" width="7.71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2" t="s">
        <v>7</v>
      </c>
      <c r="I1" s="4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>
        <v>42370.0</v>
      </c>
      <c r="B2" s="7">
        <f t="shared" ref="B2:B117" si="1">YEAR(A2)</f>
        <v>2016</v>
      </c>
      <c r="C2" s="7" t="str">
        <f t="shared" ref="C2:C117" si="2">TEXT(A2,"mmm")</f>
        <v>Jan</v>
      </c>
      <c r="D2" s="8">
        <v>189000.0</v>
      </c>
      <c r="E2" s="9">
        <v>0.04</v>
      </c>
      <c r="F2" s="10">
        <f>100*(1+E2/100)</f>
        <v>100.04</v>
      </c>
      <c r="G2" s="11">
        <f t="shared" ref="G2:G117" si="3">D2*(F2/100)</f>
        <v>189075.6</v>
      </c>
      <c r="H2" s="11">
        <f t="shared" ref="H2:H117" si="4">G2-D2</f>
        <v>75.6</v>
      </c>
      <c r="I2" s="12">
        <f t="shared" ref="I2:I117" si="5">H2/G2</f>
        <v>0.000399840064</v>
      </c>
    </row>
    <row r="3">
      <c r="A3" s="6">
        <v>42401.0</v>
      </c>
      <c r="B3" s="7">
        <f t="shared" si="1"/>
        <v>2016</v>
      </c>
      <c r="C3" s="7" t="str">
        <f t="shared" si="2"/>
        <v>Feb</v>
      </c>
      <c r="D3" s="8">
        <v>189000.0</v>
      </c>
      <c r="E3" s="9">
        <v>0.04</v>
      </c>
      <c r="F3" s="13">
        <f t="shared" ref="F3:F117" si="6">F2*(1+E3/100)</f>
        <v>100.080016</v>
      </c>
      <c r="G3" s="11">
        <f t="shared" si="3"/>
        <v>189151.2302</v>
      </c>
      <c r="H3" s="11">
        <f t="shared" si="4"/>
        <v>151.23024</v>
      </c>
      <c r="I3" s="12">
        <f t="shared" si="5"/>
        <v>0.0007995202559</v>
      </c>
    </row>
    <row r="4">
      <c r="A4" s="6">
        <v>42430.0</v>
      </c>
      <c r="B4" s="7">
        <f t="shared" si="1"/>
        <v>2016</v>
      </c>
      <c r="C4" s="7" t="str">
        <f t="shared" si="2"/>
        <v>Mar</v>
      </c>
      <c r="D4" s="8">
        <v>191000.0</v>
      </c>
      <c r="E4" s="9">
        <v>0.04</v>
      </c>
      <c r="F4" s="13">
        <f t="shared" si="6"/>
        <v>100.120048</v>
      </c>
      <c r="G4" s="11">
        <f t="shared" si="3"/>
        <v>191229.2917</v>
      </c>
      <c r="H4" s="11">
        <f t="shared" si="4"/>
        <v>229.2916922</v>
      </c>
      <c r="I4" s="12">
        <f t="shared" si="5"/>
        <v>0.00119904064</v>
      </c>
    </row>
    <row r="5">
      <c r="A5" s="6">
        <v>42461.0</v>
      </c>
      <c r="B5" s="7">
        <f t="shared" si="1"/>
        <v>2016</v>
      </c>
      <c r="C5" s="7" t="str">
        <f t="shared" si="2"/>
        <v>Apr</v>
      </c>
      <c r="D5" s="8">
        <v>192000.0</v>
      </c>
      <c r="E5" s="9">
        <v>0.035</v>
      </c>
      <c r="F5" s="13">
        <f t="shared" si="6"/>
        <v>100.15509</v>
      </c>
      <c r="G5" s="11">
        <f t="shared" si="3"/>
        <v>192297.7728</v>
      </c>
      <c r="H5" s="11">
        <f t="shared" si="4"/>
        <v>297.7728445</v>
      </c>
      <c r="I5" s="12">
        <f t="shared" si="5"/>
        <v>0.001548498665</v>
      </c>
    </row>
    <row r="6">
      <c r="A6" s="6">
        <v>42491.0</v>
      </c>
      <c r="B6" s="7">
        <f t="shared" si="1"/>
        <v>2016</v>
      </c>
      <c r="C6" s="7" t="str">
        <f t="shared" si="2"/>
        <v>May</v>
      </c>
      <c r="D6" s="8">
        <v>194000.0</v>
      </c>
      <c r="E6" s="9">
        <v>0.035</v>
      </c>
      <c r="F6" s="13">
        <f t="shared" si="6"/>
        <v>100.1901443</v>
      </c>
      <c r="G6" s="11">
        <f t="shared" si="3"/>
        <v>194368.88</v>
      </c>
      <c r="H6" s="11">
        <f t="shared" si="4"/>
        <v>368.8799511</v>
      </c>
      <c r="I6" s="12">
        <f t="shared" si="5"/>
        <v>0.001897834423</v>
      </c>
    </row>
    <row r="7">
      <c r="A7" s="6">
        <v>42522.0</v>
      </c>
      <c r="B7" s="7">
        <f t="shared" si="1"/>
        <v>2016</v>
      </c>
      <c r="C7" s="7" t="str">
        <f t="shared" si="2"/>
        <v>Jun</v>
      </c>
      <c r="D7" s="8">
        <v>196000.0</v>
      </c>
      <c r="E7" s="9">
        <v>0.034</v>
      </c>
      <c r="F7" s="13">
        <f t="shared" si="6"/>
        <v>100.224209</v>
      </c>
      <c r="G7" s="11">
        <f t="shared" si="3"/>
        <v>196439.4495</v>
      </c>
      <c r="H7" s="11">
        <f t="shared" si="4"/>
        <v>439.4495494</v>
      </c>
      <c r="I7" s="12">
        <f t="shared" si="5"/>
        <v>0.002237073818</v>
      </c>
    </row>
    <row r="8">
      <c r="A8" s="6">
        <v>42552.0</v>
      </c>
      <c r="B8" s="7">
        <f t="shared" si="1"/>
        <v>2016</v>
      </c>
      <c r="C8" s="7" t="str">
        <f t="shared" si="2"/>
        <v>Jul</v>
      </c>
      <c r="D8" s="8">
        <v>198000.0</v>
      </c>
      <c r="E8" s="9">
        <v>0.019</v>
      </c>
      <c r="F8" s="13">
        <f t="shared" si="6"/>
        <v>100.2432516</v>
      </c>
      <c r="G8" s="11">
        <f t="shared" si="3"/>
        <v>198481.6381</v>
      </c>
      <c r="H8" s="11">
        <f t="shared" si="4"/>
        <v>481.6380759</v>
      </c>
      <c r="I8" s="12">
        <f t="shared" si="5"/>
        <v>0.002426612762</v>
      </c>
    </row>
    <row r="9" ht="15.75" customHeight="1">
      <c r="A9" s="6">
        <v>42583.0</v>
      </c>
      <c r="B9" s="7">
        <f t="shared" si="1"/>
        <v>2016</v>
      </c>
      <c r="C9" s="7" t="str">
        <f t="shared" si="2"/>
        <v>Aug</v>
      </c>
      <c r="D9" s="8">
        <v>198000.0</v>
      </c>
      <c r="E9" s="9">
        <v>0.029</v>
      </c>
      <c r="F9" s="13">
        <f t="shared" si="6"/>
        <v>100.2723221</v>
      </c>
      <c r="G9" s="11">
        <f t="shared" si="3"/>
        <v>198539.1978</v>
      </c>
      <c r="H9" s="11">
        <f t="shared" si="4"/>
        <v>539.1977509</v>
      </c>
      <c r="I9" s="12">
        <f t="shared" si="5"/>
        <v>0.002715825172</v>
      </c>
    </row>
    <row r="10" ht="15.75" customHeight="1">
      <c r="A10" s="6">
        <v>42614.0</v>
      </c>
      <c r="B10" s="7">
        <f t="shared" si="1"/>
        <v>2016</v>
      </c>
      <c r="C10" s="7" t="str">
        <f t="shared" si="2"/>
        <v>Sep</v>
      </c>
      <c r="D10" s="8">
        <v>198000.0</v>
      </c>
      <c r="E10" s="9">
        <v>0.03</v>
      </c>
      <c r="F10" s="13">
        <f t="shared" si="6"/>
        <v>100.3024038</v>
      </c>
      <c r="G10" s="11">
        <f t="shared" si="3"/>
        <v>198598.7595</v>
      </c>
      <c r="H10" s="11">
        <f t="shared" si="4"/>
        <v>598.7595102</v>
      </c>
      <c r="I10" s="12">
        <f t="shared" si="5"/>
        <v>0.003014920696</v>
      </c>
    </row>
    <row r="11" ht="15.75" customHeight="1">
      <c r="A11" s="6">
        <v>42644.0</v>
      </c>
      <c r="B11" s="7">
        <f t="shared" si="1"/>
        <v>2016</v>
      </c>
      <c r="C11" s="7" t="str">
        <f t="shared" si="2"/>
        <v>Oct</v>
      </c>
      <c r="D11" s="8">
        <v>197000.0</v>
      </c>
      <c r="E11" s="9">
        <v>0.018</v>
      </c>
      <c r="F11" s="13">
        <f t="shared" si="6"/>
        <v>100.3204582</v>
      </c>
      <c r="G11" s="11">
        <f t="shared" si="3"/>
        <v>197631.3027</v>
      </c>
      <c r="H11" s="11">
        <f t="shared" si="4"/>
        <v>631.3027047</v>
      </c>
      <c r="I11" s="12">
        <f t="shared" si="5"/>
        <v>0.003194345714</v>
      </c>
    </row>
    <row r="12" ht="15.75" customHeight="1">
      <c r="A12" s="6">
        <v>42675.0</v>
      </c>
      <c r="B12" s="7">
        <f t="shared" si="1"/>
        <v>2016</v>
      </c>
      <c r="C12" s="7" t="str">
        <f t="shared" si="2"/>
        <v>Nov</v>
      </c>
      <c r="D12" s="8">
        <v>198000.0</v>
      </c>
      <c r="E12" s="9">
        <v>0.026</v>
      </c>
      <c r="F12" s="13">
        <f t="shared" si="6"/>
        <v>100.3465415</v>
      </c>
      <c r="G12" s="11">
        <f t="shared" si="3"/>
        <v>198686.1523</v>
      </c>
      <c r="H12" s="11">
        <f t="shared" si="4"/>
        <v>686.1522589</v>
      </c>
      <c r="I12" s="12">
        <f t="shared" si="5"/>
        <v>0.003453447817</v>
      </c>
    </row>
    <row r="13" ht="15.75" customHeight="1">
      <c r="A13" s="6">
        <v>42705.0</v>
      </c>
      <c r="B13" s="7">
        <f t="shared" si="1"/>
        <v>2016</v>
      </c>
      <c r="C13" s="7" t="str">
        <f t="shared" si="2"/>
        <v>Dec</v>
      </c>
      <c r="D13" s="8">
        <v>199000.0</v>
      </c>
      <c r="E13" s="9">
        <v>0.028</v>
      </c>
      <c r="F13" s="13">
        <f t="shared" si="6"/>
        <v>100.3746386</v>
      </c>
      <c r="G13" s="11">
        <f t="shared" si="3"/>
        <v>199745.5308</v>
      </c>
      <c r="H13" s="11">
        <f t="shared" si="4"/>
        <v>745.5307673</v>
      </c>
      <c r="I13" s="12">
        <f t="shared" si="5"/>
        <v>0.003732402745</v>
      </c>
    </row>
    <row r="14" ht="15.75" customHeight="1">
      <c r="A14" s="6">
        <v>42736.0</v>
      </c>
      <c r="B14" s="7">
        <f t="shared" si="1"/>
        <v>2017</v>
      </c>
      <c r="C14" s="7" t="str">
        <f t="shared" si="2"/>
        <v>Jan</v>
      </c>
      <c r="D14" s="8">
        <v>198000.0</v>
      </c>
      <c r="E14" s="9">
        <v>0.032</v>
      </c>
      <c r="F14" s="13">
        <f t="shared" si="6"/>
        <v>100.4067585</v>
      </c>
      <c r="G14" s="11">
        <f t="shared" si="3"/>
        <v>198805.3818</v>
      </c>
      <c r="H14" s="11">
        <f t="shared" si="4"/>
        <v>805.3817525</v>
      </c>
      <c r="I14" s="12">
        <f t="shared" si="5"/>
        <v>0.004051106391</v>
      </c>
    </row>
    <row r="15" ht="15.75" customHeight="1">
      <c r="A15" s="6">
        <v>42767.0</v>
      </c>
      <c r="B15" s="7">
        <f t="shared" si="1"/>
        <v>2017</v>
      </c>
      <c r="C15" s="7" t="str">
        <f t="shared" si="2"/>
        <v>Feb</v>
      </c>
      <c r="D15" s="8">
        <v>199000.0</v>
      </c>
      <c r="E15" s="9">
        <v>0.034</v>
      </c>
      <c r="F15" s="13">
        <f t="shared" si="6"/>
        <v>100.4408968</v>
      </c>
      <c r="G15" s="11">
        <f t="shared" si="3"/>
        <v>199877.3845</v>
      </c>
      <c r="H15" s="11">
        <f t="shared" si="4"/>
        <v>877.3845499</v>
      </c>
      <c r="I15" s="12">
        <f t="shared" si="5"/>
        <v>0.004389613922</v>
      </c>
    </row>
    <row r="16" ht="15.75" customHeight="1">
      <c r="A16" s="6">
        <v>42795.0</v>
      </c>
      <c r="B16" s="7">
        <f t="shared" si="1"/>
        <v>2017</v>
      </c>
      <c r="C16" s="7" t="str">
        <f t="shared" si="2"/>
        <v>Mar</v>
      </c>
      <c r="D16" s="8">
        <v>198000.0</v>
      </c>
      <c r="E16" s="9">
        <v>0.036</v>
      </c>
      <c r="F16" s="13">
        <f t="shared" si="6"/>
        <v>100.4770555</v>
      </c>
      <c r="G16" s="11">
        <f t="shared" si="3"/>
        <v>198944.5699</v>
      </c>
      <c r="H16" s="11">
        <f t="shared" si="4"/>
        <v>944.5698535</v>
      </c>
      <c r="I16" s="12">
        <f t="shared" si="5"/>
        <v>0.004747904676</v>
      </c>
    </row>
    <row r="17" ht="15.75" customHeight="1">
      <c r="A17" s="6">
        <v>42826.0</v>
      </c>
      <c r="B17" s="7">
        <f t="shared" si="1"/>
        <v>2017</v>
      </c>
      <c r="C17" s="7" t="str">
        <f t="shared" si="2"/>
        <v>Apr</v>
      </c>
      <c r="D17" s="8">
        <v>201000.0</v>
      </c>
      <c r="E17" s="9">
        <v>0.038</v>
      </c>
      <c r="F17" s="13">
        <f t="shared" si="6"/>
        <v>100.5152368</v>
      </c>
      <c r="G17" s="11">
        <f t="shared" si="3"/>
        <v>202035.6259</v>
      </c>
      <c r="H17" s="11">
        <f t="shared" si="4"/>
        <v>1035.625893</v>
      </c>
      <c r="I17" s="12">
        <f t="shared" si="5"/>
        <v>0.005125956813</v>
      </c>
    </row>
    <row r="18" ht="15.75" customHeight="1">
      <c r="A18" s="6">
        <v>42856.0</v>
      </c>
      <c r="B18" s="7">
        <f t="shared" si="1"/>
        <v>2017</v>
      </c>
      <c r="C18" s="7" t="str">
        <f t="shared" si="2"/>
        <v>May</v>
      </c>
      <c r="D18" s="8">
        <v>203000.0</v>
      </c>
      <c r="E18" s="9">
        <v>0.039</v>
      </c>
      <c r="F18" s="13">
        <f t="shared" si="6"/>
        <v>100.5544377</v>
      </c>
      <c r="G18" s="11">
        <f t="shared" si="3"/>
        <v>204125.5085</v>
      </c>
      <c r="H18" s="11">
        <f t="shared" si="4"/>
        <v>1125.508541</v>
      </c>
      <c r="I18" s="12">
        <f t="shared" si="5"/>
        <v>0.005513806428</v>
      </c>
    </row>
    <row r="19" ht="15.75" customHeight="1">
      <c r="A19" s="6">
        <v>42887.0</v>
      </c>
      <c r="B19" s="7">
        <f t="shared" si="1"/>
        <v>2017</v>
      </c>
      <c r="C19" s="7" t="str">
        <f t="shared" si="2"/>
        <v>Jun</v>
      </c>
      <c r="D19" s="8">
        <v>204000.0</v>
      </c>
      <c r="E19" s="9">
        <v>0.039</v>
      </c>
      <c r="F19" s="13">
        <f t="shared" si="6"/>
        <v>100.5936539</v>
      </c>
      <c r="G19" s="11">
        <f t="shared" si="3"/>
        <v>205211.054</v>
      </c>
      <c r="H19" s="11">
        <f t="shared" si="4"/>
        <v>1211.054029</v>
      </c>
      <c r="I19" s="12">
        <f t="shared" si="5"/>
        <v>0.005901504841</v>
      </c>
    </row>
    <row r="20" ht="15.75" customHeight="1">
      <c r="A20" s="6">
        <v>42917.0</v>
      </c>
      <c r="B20" s="7">
        <f t="shared" si="1"/>
        <v>2017</v>
      </c>
      <c r="C20" s="7" t="str">
        <f t="shared" si="2"/>
        <v>Jul</v>
      </c>
      <c r="D20" s="8">
        <v>207000.0</v>
      </c>
      <c r="E20" s="9">
        <v>0.049</v>
      </c>
      <c r="F20" s="13">
        <f t="shared" si="6"/>
        <v>100.6429448</v>
      </c>
      <c r="G20" s="11">
        <f t="shared" si="3"/>
        <v>208330.8958</v>
      </c>
      <c r="H20" s="11">
        <f t="shared" si="4"/>
        <v>1330.89579</v>
      </c>
      <c r="I20" s="12">
        <f t="shared" si="5"/>
        <v>0.006388374538</v>
      </c>
    </row>
    <row r="21" ht="15.75" customHeight="1">
      <c r="A21" s="6">
        <v>42948.0</v>
      </c>
      <c r="B21" s="7">
        <f t="shared" si="1"/>
        <v>2017</v>
      </c>
      <c r="C21" s="7" t="str">
        <f t="shared" si="2"/>
        <v>Aug</v>
      </c>
      <c r="D21" s="8">
        <v>208000.0</v>
      </c>
      <c r="E21" s="9">
        <v>0.041</v>
      </c>
      <c r="F21" s="13">
        <f t="shared" si="6"/>
        <v>100.6842084</v>
      </c>
      <c r="G21" s="11">
        <f t="shared" si="3"/>
        <v>209423.1535</v>
      </c>
      <c r="H21" s="11">
        <f t="shared" si="4"/>
        <v>1423.153542</v>
      </c>
      <c r="I21" s="12">
        <f t="shared" si="5"/>
        <v>0.006795588346</v>
      </c>
    </row>
    <row r="22" ht="15.75" customHeight="1">
      <c r="A22" s="6">
        <v>42979.0</v>
      </c>
      <c r="B22" s="7">
        <f t="shared" si="1"/>
        <v>2017</v>
      </c>
      <c r="C22" s="7" t="str">
        <f t="shared" si="2"/>
        <v>Sep</v>
      </c>
      <c r="D22" s="8">
        <v>207000.0</v>
      </c>
      <c r="E22" s="9">
        <v>0.042</v>
      </c>
      <c r="F22" s="13">
        <f t="shared" si="6"/>
        <v>100.7264958</v>
      </c>
      <c r="G22" s="11">
        <f t="shared" si="3"/>
        <v>208503.8463</v>
      </c>
      <c r="H22" s="11">
        <f t="shared" si="4"/>
        <v>1503.846308</v>
      </c>
      <c r="I22" s="12">
        <f t="shared" si="5"/>
        <v>0.007212559072</v>
      </c>
    </row>
    <row r="23" ht="15.75" customHeight="1">
      <c r="A23" s="6">
        <v>43009.0</v>
      </c>
      <c r="B23" s="7">
        <f t="shared" si="1"/>
        <v>2017</v>
      </c>
      <c r="C23" s="7" t="str">
        <f t="shared" si="2"/>
        <v>Oct</v>
      </c>
      <c r="D23" s="8">
        <v>207000.0</v>
      </c>
      <c r="E23" s="9">
        <v>0.041</v>
      </c>
      <c r="F23" s="13">
        <f t="shared" si="6"/>
        <v>100.7677937</v>
      </c>
      <c r="G23" s="11">
        <f t="shared" si="3"/>
        <v>208589.3329</v>
      </c>
      <c r="H23" s="11">
        <f t="shared" si="4"/>
        <v>1589.332885</v>
      </c>
      <c r="I23" s="12">
        <f t="shared" si="5"/>
        <v>0.007619435103</v>
      </c>
    </row>
    <row r="24" ht="15.75" customHeight="1">
      <c r="A24" s="6">
        <v>43040.0</v>
      </c>
      <c r="B24" s="7">
        <f t="shared" si="1"/>
        <v>2017</v>
      </c>
      <c r="C24" s="7" t="str">
        <f t="shared" si="2"/>
        <v>Nov</v>
      </c>
      <c r="D24" s="8">
        <v>207000.0</v>
      </c>
      <c r="E24" s="9">
        <v>0.035</v>
      </c>
      <c r="F24" s="13">
        <f t="shared" si="6"/>
        <v>100.8030624</v>
      </c>
      <c r="G24" s="11">
        <f t="shared" si="3"/>
        <v>208662.3392</v>
      </c>
      <c r="H24" s="11">
        <f t="shared" si="4"/>
        <v>1662.339152</v>
      </c>
      <c r="I24" s="12">
        <f t="shared" si="5"/>
        <v>0.007966646777</v>
      </c>
    </row>
    <row r="25" ht="15.75" customHeight="1">
      <c r="A25" s="6">
        <v>43070.0</v>
      </c>
      <c r="B25" s="7">
        <f t="shared" si="1"/>
        <v>2017</v>
      </c>
      <c r="C25" s="7" t="str">
        <f t="shared" si="2"/>
        <v>Dec</v>
      </c>
      <c r="D25" s="8">
        <v>208000.0</v>
      </c>
      <c r="E25" s="9">
        <v>0.033</v>
      </c>
      <c r="F25" s="13">
        <f t="shared" si="6"/>
        <v>100.8363274</v>
      </c>
      <c r="G25" s="11">
        <f t="shared" si="3"/>
        <v>209739.561</v>
      </c>
      <c r="H25" s="11">
        <f t="shared" si="4"/>
        <v>1739.560998</v>
      </c>
      <c r="I25" s="12">
        <f t="shared" si="5"/>
        <v>0.008293909787</v>
      </c>
    </row>
    <row r="26" ht="15.75" customHeight="1">
      <c r="A26" s="6">
        <v>43101.0</v>
      </c>
      <c r="B26" s="7">
        <f t="shared" si="1"/>
        <v>2018</v>
      </c>
      <c r="C26" s="7" t="str">
        <f t="shared" si="2"/>
        <v>Jan</v>
      </c>
      <c r="D26" s="8">
        <v>207000.0</v>
      </c>
      <c r="E26" s="9">
        <v>0.034</v>
      </c>
      <c r="F26" s="13">
        <f t="shared" si="6"/>
        <v>100.8706118</v>
      </c>
      <c r="G26" s="11">
        <f t="shared" si="3"/>
        <v>208802.1663</v>
      </c>
      <c r="H26" s="11">
        <f t="shared" si="4"/>
        <v>1802.166331</v>
      </c>
      <c r="I26" s="12">
        <f t="shared" si="5"/>
        <v>0.008630975255</v>
      </c>
    </row>
    <row r="27" ht="15.75" customHeight="1">
      <c r="A27" s="6">
        <v>43132.0</v>
      </c>
      <c r="B27" s="7">
        <f t="shared" si="1"/>
        <v>2018</v>
      </c>
      <c r="C27" s="7" t="str">
        <f t="shared" si="2"/>
        <v>Feb</v>
      </c>
      <c r="D27" s="8">
        <v>207000.0</v>
      </c>
      <c r="E27" s="9">
        <v>0.039</v>
      </c>
      <c r="F27" s="13">
        <f t="shared" si="6"/>
        <v>100.9099513</v>
      </c>
      <c r="G27" s="11">
        <f t="shared" si="3"/>
        <v>208883.5992</v>
      </c>
      <c r="H27" s="11">
        <f t="shared" si="4"/>
        <v>1883.599176</v>
      </c>
      <c r="I27" s="12">
        <f t="shared" si="5"/>
        <v>0.009017458446</v>
      </c>
    </row>
    <row r="28" ht="15.75" customHeight="1">
      <c r="A28" s="6">
        <v>43160.0</v>
      </c>
      <c r="B28" s="7">
        <f t="shared" si="1"/>
        <v>2018</v>
      </c>
      <c r="C28" s="7" t="str">
        <f t="shared" si="2"/>
        <v>Mar</v>
      </c>
      <c r="D28" s="8">
        <v>206000.0</v>
      </c>
      <c r="E28" s="9">
        <v>0.042</v>
      </c>
      <c r="F28" s="13">
        <f t="shared" si="6"/>
        <v>100.9523335</v>
      </c>
      <c r="G28" s="11">
        <f t="shared" si="3"/>
        <v>207961.807</v>
      </c>
      <c r="H28" s="11">
        <f t="shared" si="4"/>
        <v>1961.806953</v>
      </c>
      <c r="I28" s="12">
        <f t="shared" si="5"/>
        <v>0.009433496378</v>
      </c>
    </row>
    <row r="29" ht="15.75" customHeight="1">
      <c r="A29" s="6">
        <v>43191.0</v>
      </c>
      <c r="B29" s="7">
        <f t="shared" si="1"/>
        <v>2018</v>
      </c>
      <c r="C29" s="7" t="str">
        <f t="shared" si="2"/>
        <v>Apr</v>
      </c>
      <c r="D29" s="8">
        <v>208000.0</v>
      </c>
      <c r="E29" s="9">
        <v>0.04</v>
      </c>
      <c r="F29" s="13">
        <f t="shared" si="6"/>
        <v>100.9927144</v>
      </c>
      <c r="G29" s="11">
        <f t="shared" si="3"/>
        <v>210064.846</v>
      </c>
      <c r="H29" s="11">
        <f t="shared" si="4"/>
        <v>2064.845963</v>
      </c>
      <c r="I29" s="12">
        <f t="shared" si="5"/>
        <v>0.009829564552</v>
      </c>
    </row>
    <row r="30" ht="15.75" customHeight="1">
      <c r="A30" s="6">
        <v>43221.0</v>
      </c>
      <c r="B30" s="7">
        <f t="shared" si="1"/>
        <v>2018</v>
      </c>
      <c r="C30" s="7" t="str">
        <f t="shared" si="2"/>
        <v>May</v>
      </c>
      <c r="D30" s="8">
        <v>209000.0</v>
      </c>
      <c r="E30" s="9">
        <v>0.039</v>
      </c>
      <c r="F30" s="13">
        <f t="shared" si="6"/>
        <v>101.0321016</v>
      </c>
      <c r="G30" s="11">
        <f t="shared" si="3"/>
        <v>211157.0923</v>
      </c>
      <c r="H30" s="11">
        <f t="shared" si="4"/>
        <v>2157.092269</v>
      </c>
      <c r="I30" s="12">
        <f t="shared" si="5"/>
        <v>0.01021558048</v>
      </c>
    </row>
    <row r="31" ht="15.75" customHeight="1">
      <c r="A31" s="6">
        <v>43252.0</v>
      </c>
      <c r="B31" s="7">
        <f t="shared" si="1"/>
        <v>2018</v>
      </c>
      <c r="C31" s="7" t="str">
        <f t="shared" si="2"/>
        <v>Jun</v>
      </c>
      <c r="D31" s="8">
        <v>210000.0</v>
      </c>
      <c r="E31" s="9">
        <v>0.039</v>
      </c>
      <c r="F31" s="13">
        <f t="shared" si="6"/>
        <v>101.0715041</v>
      </c>
      <c r="G31" s="11">
        <f t="shared" si="3"/>
        <v>212250.1586</v>
      </c>
      <c r="H31" s="11">
        <f t="shared" si="4"/>
        <v>2250.158576</v>
      </c>
      <c r="I31" s="12">
        <f t="shared" si="5"/>
        <v>0.01060144591</v>
      </c>
    </row>
    <row r="32" ht="15.75" customHeight="1">
      <c r="A32" s="6">
        <v>43282.0</v>
      </c>
      <c r="B32" s="7">
        <f t="shared" si="1"/>
        <v>2018</v>
      </c>
      <c r="C32" s="7" t="str">
        <f t="shared" si="2"/>
        <v>Jul</v>
      </c>
      <c r="D32" s="8">
        <v>213000.0</v>
      </c>
      <c r="E32" s="9">
        <v>0.038</v>
      </c>
      <c r="F32" s="13">
        <f t="shared" si="6"/>
        <v>101.1099113</v>
      </c>
      <c r="G32" s="11">
        <f t="shared" si="3"/>
        <v>215364.111</v>
      </c>
      <c r="H32" s="11">
        <f t="shared" si="4"/>
        <v>2364.110974</v>
      </c>
      <c r="I32" s="12">
        <f t="shared" si="5"/>
        <v>0.01097727455</v>
      </c>
    </row>
    <row r="33" ht="15.75" customHeight="1">
      <c r="A33" s="6">
        <v>43313.0</v>
      </c>
      <c r="B33" s="7">
        <f t="shared" si="1"/>
        <v>2018</v>
      </c>
      <c r="C33" s="7" t="str">
        <f t="shared" si="2"/>
        <v>Aug</v>
      </c>
      <c r="D33" s="8">
        <v>214000.0</v>
      </c>
      <c r="E33" s="9">
        <v>0.038</v>
      </c>
      <c r="F33" s="13">
        <f t="shared" si="6"/>
        <v>101.148333</v>
      </c>
      <c r="G33" s="11">
        <f t="shared" si="3"/>
        <v>216457.4327</v>
      </c>
      <c r="H33" s="11">
        <f t="shared" si="4"/>
        <v>2457.432666</v>
      </c>
      <c r="I33" s="12">
        <f t="shared" si="5"/>
        <v>0.01135296042</v>
      </c>
    </row>
    <row r="34" ht="15.75" customHeight="1">
      <c r="A34" s="6">
        <v>43344.0</v>
      </c>
      <c r="B34" s="7">
        <f t="shared" si="1"/>
        <v>2018</v>
      </c>
      <c r="C34" s="7" t="str">
        <f t="shared" si="2"/>
        <v>Sep</v>
      </c>
      <c r="D34" s="8">
        <v>213000.0</v>
      </c>
      <c r="E34" s="9">
        <v>0.035</v>
      </c>
      <c r="F34" s="13">
        <f t="shared" si="6"/>
        <v>101.1837349</v>
      </c>
      <c r="G34" s="11">
        <f t="shared" si="3"/>
        <v>215521.3554</v>
      </c>
      <c r="H34" s="11">
        <f t="shared" si="4"/>
        <v>2521.355418</v>
      </c>
      <c r="I34" s="12">
        <f t="shared" si="5"/>
        <v>0.01169886582</v>
      </c>
    </row>
    <row r="35" ht="15.75" customHeight="1">
      <c r="A35" s="6">
        <v>43374.0</v>
      </c>
      <c r="B35" s="7">
        <f t="shared" si="1"/>
        <v>2018</v>
      </c>
      <c r="C35" s="7" t="str">
        <f t="shared" si="2"/>
        <v>Oct</v>
      </c>
      <c r="D35" s="8">
        <v>213000.0</v>
      </c>
      <c r="E35" s="9">
        <v>0.035</v>
      </c>
      <c r="F35" s="13">
        <f t="shared" si="6"/>
        <v>101.2191492</v>
      </c>
      <c r="G35" s="11">
        <f t="shared" si="3"/>
        <v>215596.7879</v>
      </c>
      <c r="H35" s="11">
        <f t="shared" si="4"/>
        <v>2596.787893</v>
      </c>
      <c r="I35" s="12">
        <f t="shared" si="5"/>
        <v>0.01204465019</v>
      </c>
    </row>
    <row r="36" ht="15.75" customHeight="1">
      <c r="A36" s="6">
        <v>43405.0</v>
      </c>
      <c r="B36" s="7">
        <f t="shared" si="1"/>
        <v>2018</v>
      </c>
      <c r="C36" s="7" t="str">
        <f t="shared" si="2"/>
        <v>Nov</v>
      </c>
      <c r="D36" s="8">
        <v>212000.0</v>
      </c>
      <c r="E36" s="9">
        <v>0.035</v>
      </c>
      <c r="F36" s="13">
        <f t="shared" si="6"/>
        <v>101.2545759</v>
      </c>
      <c r="G36" s="11">
        <f t="shared" si="3"/>
        <v>214659.701</v>
      </c>
      <c r="H36" s="11">
        <f t="shared" si="4"/>
        <v>2659.701009</v>
      </c>
      <c r="I36" s="12">
        <f t="shared" si="5"/>
        <v>0.01239031358</v>
      </c>
    </row>
    <row r="37" ht="15.75" customHeight="1">
      <c r="A37" s="6">
        <v>43435.0</v>
      </c>
      <c r="B37" s="7">
        <f t="shared" si="1"/>
        <v>2018</v>
      </c>
      <c r="C37" s="7" t="str">
        <f t="shared" si="2"/>
        <v>Dec</v>
      </c>
      <c r="D37" s="8">
        <v>212000.0</v>
      </c>
      <c r="E37" s="9">
        <v>0.036</v>
      </c>
      <c r="F37" s="13">
        <f t="shared" si="6"/>
        <v>101.2910276</v>
      </c>
      <c r="G37" s="11">
        <f t="shared" si="3"/>
        <v>214736.9785</v>
      </c>
      <c r="H37" s="11">
        <f t="shared" si="4"/>
        <v>2736.978501</v>
      </c>
      <c r="I37" s="12">
        <f t="shared" si="5"/>
        <v>0.01274572512</v>
      </c>
    </row>
    <row r="38" ht="15.75" customHeight="1">
      <c r="A38" s="6">
        <v>43466.0</v>
      </c>
      <c r="B38" s="7">
        <f t="shared" si="1"/>
        <v>2019</v>
      </c>
      <c r="C38" s="7" t="str">
        <f t="shared" si="2"/>
        <v>Jan</v>
      </c>
      <c r="D38" s="8">
        <v>210000.0</v>
      </c>
      <c r="E38" s="9">
        <v>0.034</v>
      </c>
      <c r="F38" s="13">
        <f t="shared" si="6"/>
        <v>101.3254665</v>
      </c>
      <c r="G38" s="11">
        <f t="shared" si="3"/>
        <v>212783.4797</v>
      </c>
      <c r="H38" s="11">
        <f t="shared" si="4"/>
        <v>2783.479743</v>
      </c>
      <c r="I38" s="12">
        <f t="shared" si="5"/>
        <v>0.01308127749</v>
      </c>
    </row>
    <row r="39" ht="15.75" customHeight="1">
      <c r="A39" s="6">
        <v>43497.0</v>
      </c>
      <c r="B39" s="7">
        <f t="shared" si="1"/>
        <v>2019</v>
      </c>
      <c r="C39" s="7" t="str">
        <f t="shared" si="2"/>
        <v>Feb</v>
      </c>
      <c r="D39" s="8">
        <v>210000.0</v>
      </c>
      <c r="E39" s="9">
        <v>0.032</v>
      </c>
      <c r="F39" s="13">
        <f t="shared" si="6"/>
        <v>101.3578907</v>
      </c>
      <c r="G39" s="11">
        <f t="shared" si="3"/>
        <v>212851.5705</v>
      </c>
      <c r="H39" s="11">
        <f t="shared" si="4"/>
        <v>2851.570457</v>
      </c>
      <c r="I39" s="12">
        <f t="shared" si="5"/>
        <v>0.01339699045</v>
      </c>
    </row>
    <row r="40" ht="15.75" customHeight="1">
      <c r="A40" s="6">
        <v>43525.0</v>
      </c>
      <c r="B40" s="7">
        <f t="shared" si="1"/>
        <v>2019</v>
      </c>
      <c r="C40" s="7" t="str">
        <f t="shared" si="2"/>
        <v>Mar</v>
      </c>
      <c r="D40" s="8">
        <v>209000.0</v>
      </c>
      <c r="E40" s="9">
        <v>0.028</v>
      </c>
      <c r="F40" s="13">
        <f t="shared" si="6"/>
        <v>101.3862709</v>
      </c>
      <c r="G40" s="11">
        <f t="shared" si="3"/>
        <v>211897.3062</v>
      </c>
      <c r="H40" s="11">
        <f t="shared" si="4"/>
        <v>2897.306187</v>
      </c>
      <c r="I40" s="12">
        <f t="shared" si="5"/>
        <v>0.01367316196</v>
      </c>
    </row>
    <row r="41" ht="15.75" customHeight="1">
      <c r="A41" s="6">
        <v>43556.0</v>
      </c>
      <c r="B41" s="7">
        <f t="shared" si="1"/>
        <v>2019</v>
      </c>
      <c r="C41" s="7" t="str">
        <f t="shared" si="2"/>
        <v>Apr</v>
      </c>
      <c r="D41" s="8">
        <v>211000.0</v>
      </c>
      <c r="E41" s="9">
        <v>0.03</v>
      </c>
      <c r="F41" s="13">
        <f t="shared" si="6"/>
        <v>101.4166868</v>
      </c>
      <c r="G41" s="11">
        <f t="shared" si="3"/>
        <v>213989.2091</v>
      </c>
      <c r="H41" s="11">
        <f t="shared" si="4"/>
        <v>2989.209115</v>
      </c>
      <c r="I41" s="12">
        <f t="shared" si="5"/>
        <v>0.01396897127</v>
      </c>
    </row>
    <row r="42" ht="15.75" customHeight="1">
      <c r="A42" s="6">
        <v>43586.0</v>
      </c>
      <c r="B42" s="7">
        <f t="shared" si="1"/>
        <v>2019</v>
      </c>
      <c r="C42" s="7" t="str">
        <f t="shared" si="2"/>
        <v>May</v>
      </c>
      <c r="D42" s="8">
        <v>211000.0</v>
      </c>
      <c r="E42" s="9">
        <v>0.03</v>
      </c>
      <c r="F42" s="13">
        <f t="shared" si="6"/>
        <v>101.4471118</v>
      </c>
      <c r="G42" s="11">
        <f t="shared" si="3"/>
        <v>214053.4059</v>
      </c>
      <c r="H42" s="11">
        <f t="shared" si="4"/>
        <v>3053.405878</v>
      </c>
      <c r="I42" s="12">
        <f t="shared" si="5"/>
        <v>0.01426469187</v>
      </c>
    </row>
    <row r="43" ht="15.75" customHeight="1">
      <c r="A43" s="6">
        <v>43617.0</v>
      </c>
      <c r="B43" s="7">
        <f t="shared" si="1"/>
        <v>2019</v>
      </c>
      <c r="C43" s="7" t="str">
        <f t="shared" si="2"/>
        <v>Jun</v>
      </c>
      <c r="D43" s="8">
        <v>212000.0</v>
      </c>
      <c r="E43" s="9">
        <v>0.029</v>
      </c>
      <c r="F43" s="13">
        <f t="shared" si="6"/>
        <v>101.4765315</v>
      </c>
      <c r="G43" s="11">
        <f t="shared" si="3"/>
        <v>215130.2467</v>
      </c>
      <c r="H43" s="11">
        <f t="shared" si="4"/>
        <v>3130.24668</v>
      </c>
      <c r="I43" s="12">
        <f t="shared" si="5"/>
        <v>0.01455047223</v>
      </c>
    </row>
    <row r="44" ht="15.75" customHeight="1">
      <c r="A44" s="6">
        <v>43647.0</v>
      </c>
      <c r="B44" s="7">
        <f t="shared" si="1"/>
        <v>2019</v>
      </c>
      <c r="C44" s="7" t="str">
        <f t="shared" si="2"/>
        <v>Jul</v>
      </c>
      <c r="D44" s="8">
        <v>214000.0</v>
      </c>
      <c r="E44" s="9">
        <v>0.03</v>
      </c>
      <c r="F44" s="13">
        <f t="shared" si="6"/>
        <v>101.5069744</v>
      </c>
      <c r="G44" s="11">
        <f t="shared" si="3"/>
        <v>217224.9252</v>
      </c>
      <c r="H44" s="11">
        <f t="shared" si="4"/>
        <v>3224.925242</v>
      </c>
      <c r="I44" s="12">
        <f t="shared" si="5"/>
        <v>0.01484601842</v>
      </c>
    </row>
    <row r="45" ht="15.75" customHeight="1">
      <c r="A45" s="6">
        <v>43678.0</v>
      </c>
      <c r="B45" s="7">
        <f t="shared" si="1"/>
        <v>2019</v>
      </c>
      <c r="C45" s="7" t="str">
        <f t="shared" si="2"/>
        <v>Aug</v>
      </c>
      <c r="D45" s="8">
        <v>215000.0</v>
      </c>
      <c r="E45" s="9">
        <v>0.03</v>
      </c>
      <c r="F45" s="13">
        <f t="shared" si="6"/>
        <v>101.5374265</v>
      </c>
      <c r="G45" s="11">
        <f t="shared" si="3"/>
        <v>218305.467</v>
      </c>
      <c r="H45" s="11">
        <f t="shared" si="4"/>
        <v>3305.466985</v>
      </c>
      <c r="I45" s="12">
        <f t="shared" si="5"/>
        <v>0.01514147598</v>
      </c>
    </row>
    <row r="46" ht="15.75" customHeight="1">
      <c r="A46" s="6">
        <v>43709.0</v>
      </c>
      <c r="B46" s="7">
        <f t="shared" si="1"/>
        <v>2019</v>
      </c>
      <c r="C46" s="7" t="str">
        <f t="shared" si="2"/>
        <v>Sep</v>
      </c>
      <c r="D46" s="8">
        <v>215000.0</v>
      </c>
      <c r="E46" s="9">
        <v>0.034</v>
      </c>
      <c r="F46" s="13">
        <f t="shared" si="6"/>
        <v>101.5719492</v>
      </c>
      <c r="G46" s="11">
        <f t="shared" si="3"/>
        <v>218379.6908</v>
      </c>
      <c r="H46" s="11">
        <f t="shared" si="4"/>
        <v>3379.690843</v>
      </c>
      <c r="I46" s="12">
        <f t="shared" si="5"/>
        <v>0.01547621407</v>
      </c>
    </row>
    <row r="47" ht="15.75" customHeight="1">
      <c r="A47" s="6">
        <v>43739.0</v>
      </c>
      <c r="B47" s="7">
        <f t="shared" si="1"/>
        <v>2019</v>
      </c>
      <c r="C47" s="7" t="str">
        <f t="shared" si="2"/>
        <v>Oct</v>
      </c>
      <c r="D47" s="8">
        <v>215000.0</v>
      </c>
      <c r="E47" s="9">
        <v>0.034</v>
      </c>
      <c r="F47" s="13">
        <f t="shared" si="6"/>
        <v>101.6064837</v>
      </c>
      <c r="G47" s="11">
        <f t="shared" si="3"/>
        <v>218453.9399</v>
      </c>
      <c r="H47" s="11">
        <f t="shared" si="4"/>
        <v>3453.939938</v>
      </c>
      <c r="I47" s="12">
        <f t="shared" si="5"/>
        <v>0.01581083838</v>
      </c>
    </row>
    <row r="48" ht="15.75" customHeight="1">
      <c r="A48" s="6">
        <v>43770.0</v>
      </c>
      <c r="B48" s="7">
        <f t="shared" si="1"/>
        <v>2019</v>
      </c>
      <c r="C48" s="7" t="str">
        <f t="shared" si="2"/>
        <v>Nov</v>
      </c>
      <c r="D48" s="8">
        <v>214000.0</v>
      </c>
      <c r="E48" s="9">
        <v>0.032</v>
      </c>
      <c r="F48" s="13">
        <f t="shared" si="6"/>
        <v>101.6389978</v>
      </c>
      <c r="G48" s="11">
        <f t="shared" si="3"/>
        <v>217507.4552</v>
      </c>
      <c r="H48" s="11">
        <f t="shared" si="4"/>
        <v>3507.455221</v>
      </c>
      <c r="I48" s="12">
        <f t="shared" si="5"/>
        <v>0.01612567817</v>
      </c>
    </row>
    <row r="49" ht="15.75" customHeight="1">
      <c r="A49" s="6">
        <v>43800.0</v>
      </c>
      <c r="B49" s="7">
        <f t="shared" si="1"/>
        <v>2019</v>
      </c>
      <c r="C49" s="7" t="str">
        <f t="shared" si="2"/>
        <v>Dec</v>
      </c>
      <c r="D49" s="8">
        <v>214000.0</v>
      </c>
      <c r="E49" s="9">
        <v>0.031</v>
      </c>
      <c r="F49" s="13">
        <f t="shared" si="6"/>
        <v>101.6705059</v>
      </c>
      <c r="G49" s="11">
        <f t="shared" si="3"/>
        <v>217574.8825</v>
      </c>
      <c r="H49" s="11">
        <f t="shared" si="4"/>
        <v>3574.882533</v>
      </c>
      <c r="I49" s="12">
        <f t="shared" si="5"/>
        <v>0.01643058468</v>
      </c>
    </row>
    <row r="50" ht="15.75" customHeight="1">
      <c r="A50" s="6">
        <v>43831.0</v>
      </c>
      <c r="B50" s="7">
        <f t="shared" si="1"/>
        <v>2020</v>
      </c>
      <c r="C50" s="7" t="str">
        <f t="shared" si="2"/>
        <v>Jan</v>
      </c>
      <c r="D50" s="8">
        <v>214000.0</v>
      </c>
      <c r="E50" s="9">
        <v>0.035</v>
      </c>
      <c r="F50" s="13">
        <f t="shared" si="6"/>
        <v>101.7060905</v>
      </c>
      <c r="G50" s="11">
        <f t="shared" si="3"/>
        <v>217651.0337</v>
      </c>
      <c r="H50" s="11">
        <f t="shared" si="4"/>
        <v>3651.033741</v>
      </c>
      <c r="I50" s="12">
        <f t="shared" si="5"/>
        <v>0.01677471353</v>
      </c>
    </row>
    <row r="51" ht="15.75" customHeight="1">
      <c r="A51" s="6">
        <v>43862.0</v>
      </c>
      <c r="B51" s="7">
        <f t="shared" si="1"/>
        <v>2020</v>
      </c>
      <c r="C51" s="7" t="str">
        <f t="shared" si="2"/>
        <v>Feb</v>
      </c>
      <c r="D51" s="8">
        <v>212000.0</v>
      </c>
      <c r="E51" s="9">
        <v>0.034</v>
      </c>
      <c r="F51" s="13">
        <f t="shared" si="6"/>
        <v>101.7406706</v>
      </c>
      <c r="G51" s="11">
        <f t="shared" si="3"/>
        <v>215690.2217</v>
      </c>
      <c r="H51" s="11">
        <f t="shared" si="4"/>
        <v>3690.221681</v>
      </c>
      <c r="I51" s="12">
        <f t="shared" si="5"/>
        <v>0.01710889651</v>
      </c>
    </row>
    <row r="52" ht="15.75" customHeight="1">
      <c r="A52" s="6">
        <v>43891.0</v>
      </c>
      <c r="B52" s="7">
        <f t="shared" si="1"/>
        <v>2020</v>
      </c>
      <c r="C52" s="7" t="str">
        <f t="shared" si="2"/>
        <v>Mar</v>
      </c>
      <c r="D52" s="8">
        <v>214000.0</v>
      </c>
      <c r="E52" s="9">
        <v>0.032</v>
      </c>
      <c r="F52" s="13">
        <f t="shared" si="6"/>
        <v>101.7732276</v>
      </c>
      <c r="G52" s="11">
        <f t="shared" si="3"/>
        <v>217794.7071</v>
      </c>
      <c r="H52" s="11">
        <f t="shared" si="4"/>
        <v>3794.707104</v>
      </c>
      <c r="I52" s="12">
        <f t="shared" si="5"/>
        <v>0.01742332105</v>
      </c>
    </row>
    <row r="53" ht="15.75" customHeight="1">
      <c r="A53" s="6">
        <v>43922.0</v>
      </c>
      <c r="B53" s="7">
        <f t="shared" si="1"/>
        <v>2020</v>
      </c>
      <c r="C53" s="7" t="str">
        <f t="shared" si="2"/>
        <v>Apr</v>
      </c>
      <c r="D53" s="8">
        <v>212000.0</v>
      </c>
      <c r="E53" s="9">
        <v>0.033</v>
      </c>
      <c r="F53" s="13">
        <f t="shared" si="6"/>
        <v>101.8068128</v>
      </c>
      <c r="G53" s="11">
        <f t="shared" si="3"/>
        <v>215830.4431</v>
      </c>
      <c r="H53" s="11">
        <f t="shared" si="4"/>
        <v>3830.443102</v>
      </c>
      <c r="I53" s="12">
        <f t="shared" si="5"/>
        <v>0.01774746438</v>
      </c>
    </row>
    <row r="54" ht="15.75" customHeight="1">
      <c r="A54" s="6">
        <v>43952.0</v>
      </c>
      <c r="B54" s="7">
        <f t="shared" si="1"/>
        <v>2020</v>
      </c>
      <c r="C54" s="7" t="str">
        <f t="shared" si="2"/>
        <v>May</v>
      </c>
      <c r="D54" s="8">
        <v>213000.0</v>
      </c>
      <c r="E54" s="9">
        <v>0.034</v>
      </c>
      <c r="F54" s="13">
        <f t="shared" si="6"/>
        <v>101.8414271</v>
      </c>
      <c r="G54" s="11">
        <f t="shared" si="3"/>
        <v>216922.2397</v>
      </c>
      <c r="H54" s="11">
        <f t="shared" si="4"/>
        <v>3922.239723</v>
      </c>
      <c r="I54" s="12">
        <f t="shared" si="5"/>
        <v>0.01808131674</v>
      </c>
    </row>
    <row r="55" ht="15.75" customHeight="1">
      <c r="A55" s="6">
        <v>43983.0</v>
      </c>
      <c r="B55" s="7">
        <f t="shared" si="1"/>
        <v>2020</v>
      </c>
      <c r="C55" s="7" t="str">
        <f t="shared" si="2"/>
        <v>Jun</v>
      </c>
      <c r="D55" s="8">
        <v>216000.0</v>
      </c>
      <c r="E55" s="9">
        <v>0.079</v>
      </c>
      <c r="F55" s="13">
        <f t="shared" si="6"/>
        <v>101.9218818</v>
      </c>
      <c r="G55" s="11">
        <f t="shared" si="3"/>
        <v>220151.2647</v>
      </c>
      <c r="H55" s="11">
        <f t="shared" si="4"/>
        <v>4151.264748</v>
      </c>
      <c r="I55" s="12">
        <f t="shared" si="5"/>
        <v>0.01885642016</v>
      </c>
    </row>
    <row r="56" ht="15.75" customHeight="1">
      <c r="A56" s="6">
        <v>44013.0</v>
      </c>
      <c r="B56" s="7">
        <f t="shared" si="1"/>
        <v>2020</v>
      </c>
      <c r="C56" s="7" t="str">
        <f t="shared" si="2"/>
        <v>Jul</v>
      </c>
      <c r="D56" s="8">
        <v>218000.0</v>
      </c>
      <c r="E56" s="9">
        <v>0.067</v>
      </c>
      <c r="F56" s="13">
        <f t="shared" si="6"/>
        <v>101.9901695</v>
      </c>
      <c r="G56" s="11">
        <f t="shared" si="3"/>
        <v>222338.5695</v>
      </c>
      <c r="H56" s="11">
        <f t="shared" si="4"/>
        <v>4338.569485</v>
      </c>
      <c r="I56" s="12">
        <f t="shared" si="5"/>
        <v>0.01951334622</v>
      </c>
    </row>
    <row r="57" ht="15.75" customHeight="1">
      <c r="A57" s="6">
        <v>44044.0</v>
      </c>
      <c r="B57" s="7">
        <f t="shared" si="1"/>
        <v>2020</v>
      </c>
      <c r="C57" s="7" t="str">
        <f t="shared" si="2"/>
        <v>Aug</v>
      </c>
      <c r="D57" s="8">
        <v>220000.0</v>
      </c>
      <c r="E57" s="9">
        <v>0.057</v>
      </c>
      <c r="F57" s="13">
        <f t="shared" si="6"/>
        <v>102.0483039</v>
      </c>
      <c r="G57" s="11">
        <f t="shared" si="3"/>
        <v>224506.2685</v>
      </c>
      <c r="H57" s="11">
        <f t="shared" si="4"/>
        <v>4506.268547</v>
      </c>
      <c r="I57" s="12">
        <f t="shared" si="5"/>
        <v>0.02007190524</v>
      </c>
    </row>
    <row r="58" ht="15.75" customHeight="1">
      <c r="A58" s="6">
        <v>44075.0</v>
      </c>
      <c r="B58" s="7">
        <f t="shared" si="1"/>
        <v>2020</v>
      </c>
      <c r="C58" s="7" t="str">
        <f t="shared" si="2"/>
        <v>Sep</v>
      </c>
      <c r="D58" s="8">
        <v>223000.0</v>
      </c>
      <c r="E58" s="9">
        <v>0.05</v>
      </c>
      <c r="F58" s="13">
        <f t="shared" si="6"/>
        <v>102.099328</v>
      </c>
      <c r="G58" s="11">
        <f t="shared" si="3"/>
        <v>227681.5015</v>
      </c>
      <c r="H58" s="11">
        <f t="shared" si="4"/>
        <v>4681.501523</v>
      </c>
      <c r="I58" s="12">
        <f t="shared" si="5"/>
        <v>0.02056162442</v>
      </c>
    </row>
    <row r="59" ht="15.75" customHeight="1">
      <c r="A59" s="6">
        <v>44105.0</v>
      </c>
      <c r="B59" s="7">
        <f t="shared" si="1"/>
        <v>2020</v>
      </c>
      <c r="C59" s="7" t="str">
        <f t="shared" si="2"/>
        <v>Oct</v>
      </c>
      <c r="D59" s="8">
        <v>224000.0</v>
      </c>
      <c r="E59" s="9">
        <v>0.051</v>
      </c>
      <c r="F59" s="13">
        <f t="shared" si="6"/>
        <v>102.1513987</v>
      </c>
      <c r="G59" s="11">
        <f t="shared" si="3"/>
        <v>228819.1331</v>
      </c>
      <c r="H59" s="11">
        <f t="shared" si="4"/>
        <v>4819.133075</v>
      </c>
      <c r="I59" s="12">
        <f t="shared" si="5"/>
        <v>0.02106088337</v>
      </c>
    </row>
    <row r="60" ht="15.75" customHeight="1">
      <c r="A60" s="6">
        <v>44136.0</v>
      </c>
      <c r="B60" s="7">
        <f t="shared" si="1"/>
        <v>2020</v>
      </c>
      <c r="C60" s="7" t="str">
        <f t="shared" si="2"/>
        <v>Nov</v>
      </c>
      <c r="D60" s="8">
        <v>227000.0</v>
      </c>
      <c r="E60" s="9">
        <v>0.057</v>
      </c>
      <c r="F60" s="13">
        <f t="shared" si="6"/>
        <v>102.209625</v>
      </c>
      <c r="G60" s="11">
        <f t="shared" si="3"/>
        <v>232015.8487</v>
      </c>
      <c r="H60" s="11">
        <f t="shared" si="4"/>
        <v>5015.848731</v>
      </c>
      <c r="I60" s="12">
        <f t="shared" si="5"/>
        <v>0.02161856079</v>
      </c>
    </row>
    <row r="61" ht="15.75" customHeight="1">
      <c r="A61" s="6">
        <v>44166.0</v>
      </c>
      <c r="B61" s="7">
        <f t="shared" si="1"/>
        <v>2020</v>
      </c>
      <c r="C61" s="7" t="str">
        <f t="shared" si="2"/>
        <v>Dec</v>
      </c>
      <c r="D61" s="8">
        <v>228000.0</v>
      </c>
      <c r="E61" s="9">
        <v>0.057</v>
      </c>
      <c r="F61" s="13">
        <f t="shared" si="6"/>
        <v>102.2678845</v>
      </c>
      <c r="G61" s="11">
        <f t="shared" si="3"/>
        <v>233170.7766</v>
      </c>
      <c r="H61" s="11">
        <f t="shared" si="4"/>
        <v>5170.776609</v>
      </c>
      <c r="I61" s="12">
        <f t="shared" si="5"/>
        <v>0.02217592052</v>
      </c>
    </row>
    <row r="62" ht="15.75" customHeight="1">
      <c r="A62" s="6">
        <v>44197.0</v>
      </c>
      <c r="B62" s="7">
        <f t="shared" si="1"/>
        <v>2021</v>
      </c>
      <c r="C62" s="7" t="str">
        <f t="shared" si="2"/>
        <v>Jan</v>
      </c>
      <c r="D62" s="8">
        <v>228000.0</v>
      </c>
      <c r="E62" s="9">
        <v>0.049</v>
      </c>
      <c r="F62" s="13">
        <f t="shared" si="6"/>
        <v>102.3179957</v>
      </c>
      <c r="G62" s="11">
        <f t="shared" si="3"/>
        <v>233285.0303</v>
      </c>
      <c r="H62" s="11">
        <f t="shared" si="4"/>
        <v>5285.03029</v>
      </c>
      <c r="I62" s="12">
        <f t="shared" si="5"/>
        <v>0.02265481966</v>
      </c>
    </row>
    <row r="63" ht="15.75" customHeight="1">
      <c r="A63" s="6">
        <v>44228.0</v>
      </c>
      <c r="B63" s="7">
        <f t="shared" si="1"/>
        <v>2021</v>
      </c>
      <c r="C63" s="7" t="str">
        <f t="shared" si="2"/>
        <v>Feb</v>
      </c>
      <c r="D63" s="8">
        <v>229000.0</v>
      </c>
      <c r="E63" s="9">
        <v>0.047</v>
      </c>
      <c r="F63" s="13">
        <f t="shared" si="6"/>
        <v>102.3660852</v>
      </c>
      <c r="G63" s="11">
        <f t="shared" si="3"/>
        <v>234418.3351</v>
      </c>
      <c r="H63" s="11">
        <f t="shared" si="4"/>
        <v>5418.335106</v>
      </c>
      <c r="I63" s="12">
        <f t="shared" si="5"/>
        <v>0.0231139561</v>
      </c>
    </row>
    <row r="64" ht="15.75" customHeight="1">
      <c r="A64" s="6">
        <v>44256.0</v>
      </c>
      <c r="B64" s="7">
        <f t="shared" si="1"/>
        <v>2021</v>
      </c>
      <c r="C64" s="7" t="str">
        <f t="shared" si="2"/>
        <v>Mar</v>
      </c>
      <c r="D64" s="8">
        <v>232000.0</v>
      </c>
      <c r="E64" s="9">
        <v>0.054</v>
      </c>
      <c r="F64" s="13">
        <f t="shared" si="6"/>
        <v>102.4213629</v>
      </c>
      <c r="G64" s="11">
        <f t="shared" si="3"/>
        <v>237617.5619</v>
      </c>
      <c r="H64" s="11">
        <f t="shared" si="4"/>
        <v>5617.561894</v>
      </c>
      <c r="I64" s="12">
        <f t="shared" si="5"/>
        <v>0.02364118986</v>
      </c>
    </row>
    <row r="65" ht="15.75" customHeight="1">
      <c r="A65" s="6">
        <v>44287.0</v>
      </c>
      <c r="B65" s="7">
        <f t="shared" si="1"/>
        <v>2021</v>
      </c>
      <c r="C65" s="7" t="str">
        <f t="shared" si="2"/>
        <v>Apr</v>
      </c>
      <c r="D65" s="8">
        <v>229000.0</v>
      </c>
      <c r="E65" s="9">
        <v>0.062</v>
      </c>
      <c r="F65" s="13">
        <f t="shared" si="6"/>
        <v>102.4848641</v>
      </c>
      <c r="G65" s="11">
        <f t="shared" si="3"/>
        <v>234690.3389</v>
      </c>
      <c r="H65" s="11">
        <f t="shared" si="4"/>
        <v>5690.338858</v>
      </c>
      <c r="I65" s="12">
        <f t="shared" si="5"/>
        <v>0.02424615724</v>
      </c>
    </row>
    <row r="66" ht="15.75" customHeight="1">
      <c r="A66" s="6">
        <v>44317.0</v>
      </c>
      <c r="B66" s="7">
        <f t="shared" si="1"/>
        <v>2021</v>
      </c>
      <c r="C66" s="7" t="str">
        <f t="shared" si="2"/>
        <v>May</v>
      </c>
      <c r="D66" s="8">
        <v>231000.0</v>
      </c>
      <c r="E66" s="9">
        <v>0.062</v>
      </c>
      <c r="F66" s="13">
        <f t="shared" si="6"/>
        <v>102.5484047</v>
      </c>
      <c r="G66" s="11">
        <f t="shared" si="3"/>
        <v>236886.815</v>
      </c>
      <c r="H66" s="11">
        <f t="shared" si="4"/>
        <v>5886.814963</v>
      </c>
      <c r="I66" s="12">
        <f t="shared" si="5"/>
        <v>0.02485074977</v>
      </c>
    </row>
    <row r="67" ht="15.75" customHeight="1">
      <c r="A67" s="6">
        <v>44348.0</v>
      </c>
      <c r="B67" s="7">
        <f t="shared" si="1"/>
        <v>2021</v>
      </c>
      <c r="C67" s="7" t="str">
        <f t="shared" si="2"/>
        <v>Jun</v>
      </c>
      <c r="D67" s="8">
        <v>243000.0</v>
      </c>
      <c r="E67" s="9">
        <v>0.025</v>
      </c>
      <c r="F67" s="13">
        <f t="shared" si="6"/>
        <v>102.5740418</v>
      </c>
      <c r="G67" s="11">
        <f t="shared" si="3"/>
        <v>249254.9217</v>
      </c>
      <c r="H67" s="11">
        <f t="shared" si="4"/>
        <v>6254.921689</v>
      </c>
      <c r="I67" s="12">
        <f t="shared" si="5"/>
        <v>0.02509447615</v>
      </c>
    </row>
    <row r="68" ht="15.75" customHeight="1">
      <c r="A68" s="6">
        <v>44378.0</v>
      </c>
      <c r="B68" s="7">
        <f t="shared" si="1"/>
        <v>2021</v>
      </c>
      <c r="C68" s="7" t="str">
        <f t="shared" si="2"/>
        <v>Jul</v>
      </c>
      <c r="D68" s="8">
        <v>231000.0</v>
      </c>
      <c r="E68" s="9">
        <v>0.051</v>
      </c>
      <c r="F68" s="13">
        <f t="shared" si="6"/>
        <v>102.6263546</v>
      </c>
      <c r="G68" s="11">
        <f t="shared" si="3"/>
        <v>237066.8791</v>
      </c>
      <c r="H68" s="11">
        <f t="shared" si="4"/>
        <v>6066.879146</v>
      </c>
      <c r="I68" s="12">
        <f t="shared" si="5"/>
        <v>0.02559142453</v>
      </c>
    </row>
    <row r="69" ht="15.75" customHeight="1">
      <c r="A69" s="6">
        <v>44409.0</v>
      </c>
      <c r="B69" s="7">
        <f t="shared" si="1"/>
        <v>2021</v>
      </c>
      <c r="C69" s="7" t="str">
        <f t="shared" si="2"/>
        <v>Aug</v>
      </c>
      <c r="D69" s="8">
        <v>238000.0</v>
      </c>
      <c r="E69" s="9">
        <v>0.075</v>
      </c>
      <c r="F69" s="13">
        <f t="shared" si="6"/>
        <v>102.7033244</v>
      </c>
      <c r="G69" s="11">
        <f t="shared" si="3"/>
        <v>244433.912</v>
      </c>
      <c r="H69" s="11">
        <f t="shared" si="4"/>
        <v>6433.912011</v>
      </c>
      <c r="I69" s="12">
        <f t="shared" si="5"/>
        <v>0.02632168326</v>
      </c>
    </row>
    <row r="70" ht="15.75" customHeight="1">
      <c r="A70" s="6">
        <v>44440.0</v>
      </c>
      <c r="B70" s="7">
        <f t="shared" si="1"/>
        <v>2021</v>
      </c>
      <c r="C70" s="7" t="str">
        <f t="shared" si="2"/>
        <v>Sep</v>
      </c>
      <c r="D70" s="8">
        <v>245000.0</v>
      </c>
      <c r="E70" s="9">
        <v>0.085</v>
      </c>
      <c r="F70" s="13">
        <f t="shared" si="6"/>
        <v>102.7906222</v>
      </c>
      <c r="G70" s="11">
        <f t="shared" si="3"/>
        <v>251837.0244</v>
      </c>
      <c r="H70" s="11">
        <f t="shared" si="4"/>
        <v>6837.02439</v>
      </c>
      <c r="I70" s="12">
        <f t="shared" si="5"/>
        <v>0.02714860695</v>
      </c>
    </row>
    <row r="71" ht="15.75" customHeight="1">
      <c r="A71" s="6">
        <v>44470.0</v>
      </c>
      <c r="B71" s="7">
        <f t="shared" si="1"/>
        <v>2021</v>
      </c>
      <c r="C71" s="7" t="str">
        <f t="shared" si="2"/>
        <v>Oct</v>
      </c>
      <c r="D71" s="8">
        <v>239000.0</v>
      </c>
      <c r="E71" s="9">
        <v>0.088</v>
      </c>
      <c r="F71" s="13">
        <f t="shared" si="6"/>
        <v>102.8810779</v>
      </c>
      <c r="G71" s="11">
        <f t="shared" si="3"/>
        <v>245885.7763</v>
      </c>
      <c r="H71" s="11">
        <f t="shared" si="4"/>
        <v>6885.776295</v>
      </c>
      <c r="I71" s="12">
        <f t="shared" si="5"/>
        <v>0.02800396346</v>
      </c>
    </row>
    <row r="72" ht="15.75" customHeight="1">
      <c r="A72" s="6">
        <v>44501.0</v>
      </c>
      <c r="B72" s="7">
        <f t="shared" si="1"/>
        <v>2021</v>
      </c>
      <c r="C72" s="7" t="str">
        <f t="shared" si="2"/>
        <v>Nov</v>
      </c>
      <c r="D72" s="8">
        <v>244000.0</v>
      </c>
      <c r="E72" s="9">
        <v>0.083</v>
      </c>
      <c r="F72" s="13">
        <f t="shared" si="6"/>
        <v>102.9664692</v>
      </c>
      <c r="G72" s="11">
        <f t="shared" si="3"/>
        <v>251238.185</v>
      </c>
      <c r="H72" s="11">
        <f t="shared" si="4"/>
        <v>7238.184951</v>
      </c>
      <c r="I72" s="12">
        <f t="shared" si="5"/>
        <v>0.02881005112</v>
      </c>
    </row>
    <row r="73" ht="15.75" customHeight="1">
      <c r="A73" s="6">
        <v>44531.0</v>
      </c>
      <c r="B73" s="7">
        <f t="shared" si="1"/>
        <v>2021</v>
      </c>
      <c r="C73" s="7" t="str">
        <f t="shared" si="2"/>
        <v>Dec</v>
      </c>
      <c r="D73" s="8">
        <v>245000.0</v>
      </c>
      <c r="E73" s="9">
        <v>0.089</v>
      </c>
      <c r="F73" s="13">
        <f t="shared" si="6"/>
        <v>103.0581094</v>
      </c>
      <c r="G73" s="11">
        <f t="shared" si="3"/>
        <v>252492.368</v>
      </c>
      <c r="H73" s="11">
        <f t="shared" si="4"/>
        <v>7492.36803</v>
      </c>
      <c r="I73" s="12">
        <f t="shared" si="5"/>
        <v>0.02967364158</v>
      </c>
    </row>
    <row r="74" ht="15.75" customHeight="1">
      <c r="A74" s="6">
        <v>44562.0</v>
      </c>
      <c r="B74" s="7">
        <f t="shared" si="1"/>
        <v>2022</v>
      </c>
      <c r="C74" s="7" t="str">
        <f t="shared" si="2"/>
        <v>Jan</v>
      </c>
      <c r="D74" s="8">
        <v>248000.0</v>
      </c>
      <c r="E74" s="9">
        <v>0.101</v>
      </c>
      <c r="F74" s="13">
        <f t="shared" si="6"/>
        <v>103.1621981</v>
      </c>
      <c r="G74" s="11">
        <f t="shared" si="3"/>
        <v>255842.2513</v>
      </c>
      <c r="H74" s="11">
        <f t="shared" si="4"/>
        <v>7842.251264</v>
      </c>
      <c r="I74" s="12">
        <f t="shared" si="5"/>
        <v>0.03065268237</v>
      </c>
    </row>
    <row r="75" ht="15.75" customHeight="1">
      <c r="A75" s="6">
        <v>44593.0</v>
      </c>
      <c r="B75" s="7">
        <f t="shared" si="1"/>
        <v>2022</v>
      </c>
      <c r="C75" s="7" t="str">
        <f t="shared" si="2"/>
        <v>Feb</v>
      </c>
      <c r="D75" s="8">
        <v>248000.0</v>
      </c>
      <c r="E75" s="9">
        <v>0.109</v>
      </c>
      <c r="F75" s="13">
        <f t="shared" si="6"/>
        <v>103.2746449</v>
      </c>
      <c r="G75" s="11">
        <f t="shared" si="3"/>
        <v>256121.1193</v>
      </c>
      <c r="H75" s="11">
        <f t="shared" si="4"/>
        <v>8121.119318</v>
      </c>
      <c r="I75" s="12">
        <f t="shared" si="5"/>
        <v>0.03170812052</v>
      </c>
    </row>
    <row r="76" ht="15.75" customHeight="1">
      <c r="A76" s="6">
        <v>44621.0</v>
      </c>
      <c r="B76" s="7">
        <f t="shared" si="1"/>
        <v>2022</v>
      </c>
      <c r="C76" s="7" t="str">
        <f t="shared" si="2"/>
        <v>Mar</v>
      </c>
      <c r="D76" s="8">
        <v>249000.0</v>
      </c>
      <c r="E76" s="9">
        <v>0.103</v>
      </c>
      <c r="F76" s="13">
        <f t="shared" si="6"/>
        <v>103.3810178</v>
      </c>
      <c r="G76" s="11">
        <f t="shared" si="3"/>
        <v>257418.7342</v>
      </c>
      <c r="H76" s="11">
        <f t="shared" si="4"/>
        <v>8418.734249</v>
      </c>
      <c r="I76" s="12">
        <f t="shared" si="5"/>
        <v>0.03270443495</v>
      </c>
    </row>
    <row r="77" ht="15.75" customHeight="1">
      <c r="A77" s="6">
        <v>44652.0</v>
      </c>
      <c r="B77" s="7">
        <f t="shared" si="1"/>
        <v>2022</v>
      </c>
      <c r="C77" s="7" t="str">
        <f t="shared" si="2"/>
        <v>Apr</v>
      </c>
      <c r="D77" s="8">
        <v>252000.0</v>
      </c>
      <c r="E77" s="9">
        <v>0.114</v>
      </c>
      <c r="F77" s="13">
        <f t="shared" si="6"/>
        <v>103.4988721</v>
      </c>
      <c r="G77" s="11">
        <f t="shared" si="3"/>
        <v>260817.1578</v>
      </c>
      <c r="H77" s="11">
        <f t="shared" si="4"/>
        <v>8817.15777</v>
      </c>
      <c r="I77" s="12">
        <f t="shared" si="5"/>
        <v>0.03380589623</v>
      </c>
    </row>
    <row r="78" ht="15.75" customHeight="1">
      <c r="A78" s="6">
        <v>44682.0</v>
      </c>
      <c r="B78" s="7">
        <f t="shared" si="1"/>
        <v>2022</v>
      </c>
      <c r="C78" s="7" t="str">
        <f t="shared" si="2"/>
        <v>May</v>
      </c>
      <c r="D78" s="8">
        <v>255000.0</v>
      </c>
      <c r="E78" s="9">
        <v>0.117</v>
      </c>
      <c r="F78" s="13">
        <f t="shared" si="6"/>
        <v>103.6199658</v>
      </c>
      <c r="G78" s="11">
        <f t="shared" si="3"/>
        <v>264230.9128</v>
      </c>
      <c r="H78" s="11">
        <f t="shared" si="4"/>
        <v>9230.912819</v>
      </c>
      <c r="I78" s="12">
        <f t="shared" si="5"/>
        <v>0.03493502225</v>
      </c>
    </row>
    <row r="79" ht="15.75" customHeight="1">
      <c r="A79" s="6">
        <v>44713.0</v>
      </c>
      <c r="B79" s="7">
        <f t="shared" si="1"/>
        <v>2022</v>
      </c>
      <c r="C79" s="7" t="str">
        <f t="shared" si="2"/>
        <v>Jun</v>
      </c>
      <c r="D79" s="8">
        <v>258000.0</v>
      </c>
      <c r="E79" s="9">
        <v>0.173</v>
      </c>
      <c r="F79" s="13">
        <f t="shared" si="6"/>
        <v>103.7992284</v>
      </c>
      <c r="G79" s="11">
        <f t="shared" si="3"/>
        <v>267802.0091</v>
      </c>
      <c r="H79" s="11">
        <f t="shared" si="4"/>
        <v>9802.009149</v>
      </c>
      <c r="I79" s="12">
        <f t="shared" si="5"/>
        <v>0.03660170131</v>
      </c>
    </row>
    <row r="80" ht="15.75" customHeight="1">
      <c r="A80" s="6">
        <v>44743.0</v>
      </c>
      <c r="B80" s="7">
        <f t="shared" si="1"/>
        <v>2022</v>
      </c>
      <c r="C80" s="7" t="str">
        <f t="shared" si="2"/>
        <v>Jul</v>
      </c>
      <c r="D80" s="8">
        <v>263000.0</v>
      </c>
      <c r="E80" s="9">
        <v>0.175</v>
      </c>
      <c r="F80" s="13">
        <f t="shared" si="6"/>
        <v>103.980877</v>
      </c>
      <c r="G80" s="11">
        <f t="shared" si="3"/>
        <v>273469.7065</v>
      </c>
      <c r="H80" s="11">
        <f t="shared" si="4"/>
        <v>10469.70651</v>
      </c>
      <c r="I80" s="12">
        <f t="shared" si="5"/>
        <v>0.03828470308</v>
      </c>
    </row>
    <row r="81" ht="15.75" customHeight="1">
      <c r="A81" s="6">
        <v>44774.0</v>
      </c>
      <c r="B81" s="7">
        <f t="shared" si="1"/>
        <v>2022</v>
      </c>
      <c r="C81" s="7" t="str">
        <f t="shared" si="2"/>
        <v>Aug</v>
      </c>
      <c r="D81" s="8">
        <v>265000.0</v>
      </c>
      <c r="E81" s="9">
        <v>0.19</v>
      </c>
      <c r="F81" s="13">
        <f t="shared" si="6"/>
        <v>104.1784407</v>
      </c>
      <c r="G81" s="11">
        <f t="shared" si="3"/>
        <v>276072.8678</v>
      </c>
      <c r="H81" s="11">
        <f t="shared" si="4"/>
        <v>11072.86777</v>
      </c>
      <c r="I81" s="12">
        <f t="shared" si="5"/>
        <v>0.04010849693</v>
      </c>
    </row>
    <row r="82" ht="15.75" customHeight="1">
      <c r="A82" s="6">
        <v>44805.0</v>
      </c>
      <c r="B82" s="7">
        <f t="shared" si="1"/>
        <v>2022</v>
      </c>
      <c r="C82" s="7" t="str">
        <f t="shared" si="2"/>
        <v>Sep</v>
      </c>
      <c r="D82" s="8">
        <v>266000.0</v>
      </c>
      <c r="E82" s="9">
        <v>0.183</v>
      </c>
      <c r="F82" s="13">
        <f t="shared" si="6"/>
        <v>104.3690872</v>
      </c>
      <c r="G82" s="11">
        <f t="shared" si="3"/>
        <v>277621.772</v>
      </c>
      <c r="H82" s="11">
        <f t="shared" si="4"/>
        <v>11621.77199</v>
      </c>
      <c r="I82" s="12">
        <f t="shared" si="5"/>
        <v>0.04186188968</v>
      </c>
    </row>
    <row r="83" ht="15.75" customHeight="1">
      <c r="A83" s="6">
        <v>44835.0</v>
      </c>
      <c r="B83" s="7">
        <f t="shared" si="1"/>
        <v>2022</v>
      </c>
      <c r="C83" s="7" t="str">
        <f t="shared" si="2"/>
        <v>Oct</v>
      </c>
      <c r="D83" s="8">
        <v>266000.0</v>
      </c>
      <c r="E83" s="9">
        <v>0.182</v>
      </c>
      <c r="F83" s="13">
        <f t="shared" si="6"/>
        <v>104.559039</v>
      </c>
      <c r="G83" s="11">
        <f t="shared" si="3"/>
        <v>278127.0436</v>
      </c>
      <c r="H83" s="11">
        <f t="shared" si="4"/>
        <v>12127.04362</v>
      </c>
      <c r="I83" s="12">
        <f t="shared" si="5"/>
        <v>0.04360253307</v>
      </c>
    </row>
    <row r="84" ht="15.75" customHeight="1">
      <c r="A84" s="6">
        <v>44866.0</v>
      </c>
      <c r="B84" s="7">
        <f t="shared" si="1"/>
        <v>2022</v>
      </c>
      <c r="C84" s="7" t="str">
        <f t="shared" si="2"/>
        <v>Nov</v>
      </c>
      <c r="D84" s="8">
        <v>265000.0</v>
      </c>
      <c r="E84" s="9">
        <v>0.186</v>
      </c>
      <c r="F84" s="13">
        <f t="shared" si="6"/>
        <v>104.7535188</v>
      </c>
      <c r="G84" s="11">
        <f t="shared" si="3"/>
        <v>277596.8247</v>
      </c>
      <c r="H84" s="11">
        <f t="shared" si="4"/>
        <v>12596.82473</v>
      </c>
      <c r="I84" s="12">
        <f t="shared" si="5"/>
        <v>0.04537812974</v>
      </c>
    </row>
    <row r="85" ht="15.75" customHeight="1">
      <c r="A85" s="6">
        <v>44896.0</v>
      </c>
      <c r="B85" s="7">
        <f t="shared" si="1"/>
        <v>2022</v>
      </c>
      <c r="C85" s="7" t="str">
        <f t="shared" si="2"/>
        <v>Dec</v>
      </c>
      <c r="D85" s="8">
        <v>263000.0</v>
      </c>
      <c r="E85" s="9">
        <v>0.194</v>
      </c>
      <c r="F85" s="13">
        <f t="shared" si="6"/>
        <v>104.9567406</v>
      </c>
      <c r="G85" s="11">
        <f t="shared" si="3"/>
        <v>276036.2278</v>
      </c>
      <c r="H85" s="11">
        <f t="shared" si="4"/>
        <v>13036.22776</v>
      </c>
      <c r="I85" s="12">
        <f t="shared" si="5"/>
        <v>0.04722651031</v>
      </c>
    </row>
    <row r="86" ht="15.75" customHeight="1">
      <c r="A86" s="6">
        <v>44927.0</v>
      </c>
      <c r="B86" s="7">
        <f t="shared" si="1"/>
        <v>2023</v>
      </c>
      <c r="C86" s="7" t="str">
        <f t="shared" si="2"/>
        <v>Jan</v>
      </c>
      <c r="D86" s="8">
        <v>261000.0</v>
      </c>
      <c r="E86" s="9">
        <v>0.187</v>
      </c>
      <c r="F86" s="13">
        <f t="shared" si="6"/>
        <v>105.1530097</v>
      </c>
      <c r="G86" s="11">
        <f t="shared" si="3"/>
        <v>274449.3553</v>
      </c>
      <c r="H86" s="11">
        <f t="shared" si="4"/>
        <v>13449.35531</v>
      </c>
      <c r="I86" s="12">
        <f t="shared" si="5"/>
        <v>0.0490048712</v>
      </c>
    </row>
    <row r="87" ht="15.75" customHeight="1">
      <c r="A87" s="6">
        <v>44958.0</v>
      </c>
      <c r="B87" s="7">
        <f t="shared" si="1"/>
        <v>2023</v>
      </c>
      <c r="C87" s="7" t="str">
        <f t="shared" si="2"/>
        <v>Feb</v>
      </c>
      <c r="D87" s="8">
        <v>259000.0</v>
      </c>
      <c r="E87" s="9">
        <v>0.182</v>
      </c>
      <c r="F87" s="13">
        <f t="shared" si="6"/>
        <v>105.3443882</v>
      </c>
      <c r="G87" s="11">
        <f t="shared" si="3"/>
        <v>272841.9654</v>
      </c>
      <c r="H87" s="11">
        <f t="shared" si="4"/>
        <v>13841.96537</v>
      </c>
      <c r="I87" s="12">
        <f t="shared" si="5"/>
        <v>0.05073253799</v>
      </c>
    </row>
    <row r="88" ht="15.75" customHeight="1">
      <c r="A88" s="6">
        <v>44986.0</v>
      </c>
      <c r="B88" s="7">
        <f t="shared" si="1"/>
        <v>2023</v>
      </c>
      <c r="C88" s="7" t="str">
        <f t="shared" si="2"/>
        <v>Mar</v>
      </c>
      <c r="D88" s="8">
        <v>256000.0</v>
      </c>
      <c r="E88" s="9">
        <v>0.18</v>
      </c>
      <c r="F88" s="13">
        <f t="shared" si="6"/>
        <v>105.5340081</v>
      </c>
      <c r="G88" s="11">
        <f t="shared" si="3"/>
        <v>270167.0607</v>
      </c>
      <c r="H88" s="11">
        <f t="shared" si="4"/>
        <v>14167.06067</v>
      </c>
      <c r="I88" s="12">
        <f t="shared" si="5"/>
        <v>0.05243814932</v>
      </c>
    </row>
    <row r="89" ht="15.75" customHeight="1">
      <c r="A89" s="6">
        <v>45017.0</v>
      </c>
      <c r="B89" s="7">
        <f t="shared" si="1"/>
        <v>2023</v>
      </c>
      <c r="C89" s="7" t="str">
        <f t="shared" si="2"/>
        <v>Apr</v>
      </c>
      <c r="D89" s="8">
        <v>256000.0</v>
      </c>
      <c r="E89" s="9">
        <v>0.156</v>
      </c>
      <c r="F89" s="13">
        <f t="shared" si="6"/>
        <v>105.6986411</v>
      </c>
      <c r="G89" s="11">
        <f t="shared" si="3"/>
        <v>270588.5213</v>
      </c>
      <c r="H89" s="11">
        <f t="shared" si="4"/>
        <v>14588.52128</v>
      </c>
      <c r="I89" s="12">
        <f t="shared" si="5"/>
        <v>0.05391404341</v>
      </c>
    </row>
    <row r="90" ht="15.75" customHeight="1">
      <c r="A90" s="6">
        <v>45047.0</v>
      </c>
      <c r="B90" s="7">
        <f t="shared" si="1"/>
        <v>2023</v>
      </c>
      <c r="C90" s="7" t="str">
        <f t="shared" si="2"/>
        <v>May</v>
      </c>
      <c r="D90" s="8">
        <v>257000.0</v>
      </c>
      <c r="E90" s="9">
        <v>0.152</v>
      </c>
      <c r="F90" s="13">
        <f t="shared" si="6"/>
        <v>105.8593031</v>
      </c>
      <c r="G90" s="11">
        <f t="shared" si="3"/>
        <v>272058.4089</v>
      </c>
      <c r="H90" s="11">
        <f t="shared" si="4"/>
        <v>15058.40887</v>
      </c>
      <c r="I90" s="12">
        <f t="shared" si="5"/>
        <v>0.05534991154</v>
      </c>
    </row>
    <row r="91" ht="15.75" customHeight="1">
      <c r="A91" s="6">
        <v>45078.0</v>
      </c>
      <c r="B91" s="7">
        <f t="shared" si="1"/>
        <v>2023</v>
      </c>
      <c r="C91" s="7" t="str">
        <f t="shared" si="2"/>
        <v>Jun</v>
      </c>
      <c r="D91" s="8">
        <v>258000.0</v>
      </c>
      <c r="E91" s="9">
        <v>0.086</v>
      </c>
      <c r="F91" s="13">
        <f t="shared" si="6"/>
        <v>105.9503421</v>
      </c>
      <c r="G91" s="11">
        <f t="shared" si="3"/>
        <v>273351.8825</v>
      </c>
      <c r="H91" s="11">
        <f t="shared" si="4"/>
        <v>15351.88252</v>
      </c>
      <c r="I91" s="12">
        <f t="shared" si="5"/>
        <v>0.05616161256</v>
      </c>
    </row>
    <row r="92" ht="15.75" customHeight="1">
      <c r="A92" s="6">
        <v>45108.0</v>
      </c>
      <c r="B92" s="7">
        <f t="shared" si="1"/>
        <v>2023</v>
      </c>
      <c r="C92" s="7" t="str">
        <f t="shared" si="2"/>
        <v>Jul</v>
      </c>
      <c r="D92" s="8">
        <v>261000.0</v>
      </c>
      <c r="E92" s="9">
        <v>0.076</v>
      </c>
      <c r="F92" s="13">
        <f t="shared" si="6"/>
        <v>106.0308643</v>
      </c>
      <c r="G92" s="11">
        <f t="shared" si="3"/>
        <v>276740.5559</v>
      </c>
      <c r="H92" s="11">
        <f t="shared" si="4"/>
        <v>15740.55588</v>
      </c>
      <c r="I92" s="12">
        <f t="shared" si="5"/>
        <v>0.05687838498</v>
      </c>
    </row>
    <row r="93" ht="15.75" customHeight="1">
      <c r="A93" s="6">
        <v>45139.0</v>
      </c>
      <c r="B93" s="7">
        <f t="shared" si="1"/>
        <v>2023</v>
      </c>
      <c r="C93" s="7" t="str">
        <f t="shared" si="2"/>
        <v>Aug</v>
      </c>
      <c r="D93" s="8">
        <v>263000.0</v>
      </c>
      <c r="E93" s="9">
        <v>0.051</v>
      </c>
      <c r="F93" s="13">
        <f t="shared" si="6"/>
        <v>106.0849401</v>
      </c>
      <c r="G93" s="11">
        <f t="shared" si="3"/>
        <v>279003.3924</v>
      </c>
      <c r="H93" s="11">
        <f t="shared" si="4"/>
        <v>16003.39236</v>
      </c>
      <c r="I93" s="12">
        <f t="shared" si="5"/>
        <v>0.05735913183</v>
      </c>
    </row>
    <row r="94" ht="15.75" customHeight="1">
      <c r="A94" s="6">
        <v>45170.0</v>
      </c>
      <c r="B94" s="7">
        <f t="shared" si="1"/>
        <v>2023</v>
      </c>
      <c r="C94" s="7" t="str">
        <f t="shared" si="2"/>
        <v>Sep</v>
      </c>
      <c r="D94" s="8">
        <v>261000.0</v>
      </c>
      <c r="E94" s="9">
        <v>0.047</v>
      </c>
      <c r="F94" s="13">
        <f t="shared" si="6"/>
        <v>106.1348</v>
      </c>
      <c r="G94" s="11">
        <f t="shared" si="3"/>
        <v>277011.828</v>
      </c>
      <c r="H94" s="11">
        <f t="shared" si="4"/>
        <v>16011.82796</v>
      </c>
      <c r="I94" s="12">
        <f t="shared" si="5"/>
        <v>0.0578019649</v>
      </c>
    </row>
    <row r="95" ht="15.75" customHeight="1">
      <c r="A95" s="6">
        <v>45200.0</v>
      </c>
      <c r="B95" s="7">
        <f t="shared" si="1"/>
        <v>2023</v>
      </c>
      <c r="C95" s="7" t="str">
        <f t="shared" si="2"/>
        <v>Oct</v>
      </c>
      <c r="D95" s="8">
        <v>260000.0</v>
      </c>
      <c r="E95" s="9">
        <v>0.04</v>
      </c>
      <c r="F95" s="13">
        <f t="shared" si="6"/>
        <v>106.1772539</v>
      </c>
      <c r="G95" s="11">
        <f t="shared" si="3"/>
        <v>276060.8601</v>
      </c>
      <c r="H95" s="11">
        <f t="shared" si="4"/>
        <v>16060.86015</v>
      </c>
      <c r="I95" s="12">
        <f t="shared" si="5"/>
        <v>0.05817869343</v>
      </c>
    </row>
    <row r="96" ht="15.75" customHeight="1">
      <c r="A96" s="6">
        <v>45231.0</v>
      </c>
      <c r="B96" s="7">
        <f t="shared" si="1"/>
        <v>2023</v>
      </c>
      <c r="C96" s="7" t="str">
        <f t="shared" si="2"/>
        <v>Nov</v>
      </c>
      <c r="D96" s="8">
        <v>258000.0</v>
      </c>
      <c r="E96" s="9">
        <v>0.038</v>
      </c>
      <c r="F96" s="13">
        <f t="shared" si="6"/>
        <v>106.2176013</v>
      </c>
      <c r="G96" s="11">
        <f t="shared" si="3"/>
        <v>274041.4113</v>
      </c>
      <c r="H96" s="11">
        <f t="shared" si="4"/>
        <v>16041.41125</v>
      </c>
      <c r="I96" s="12">
        <f t="shared" si="5"/>
        <v>0.05853644958</v>
      </c>
    </row>
    <row r="97" ht="15.75" customHeight="1">
      <c r="A97" s="6">
        <v>45261.0</v>
      </c>
      <c r="B97" s="7">
        <f t="shared" si="1"/>
        <v>2023</v>
      </c>
      <c r="C97" s="7" t="str">
        <f t="shared" si="2"/>
        <v>Dec</v>
      </c>
      <c r="D97" s="8">
        <v>256000.0</v>
      </c>
      <c r="E97" s="9">
        <v>0.027</v>
      </c>
      <c r="F97" s="13">
        <f t="shared" si="6"/>
        <v>106.24628</v>
      </c>
      <c r="G97" s="11">
        <f t="shared" si="3"/>
        <v>271990.4768</v>
      </c>
      <c r="H97" s="11">
        <f t="shared" si="4"/>
        <v>15990.47683</v>
      </c>
      <c r="I97" s="12">
        <f t="shared" si="5"/>
        <v>0.05879057612</v>
      </c>
    </row>
    <row r="98" ht="15.75" customHeight="1">
      <c r="A98" s="6">
        <v>45292.0</v>
      </c>
      <c r="B98" s="7">
        <f t="shared" si="1"/>
        <v>2024</v>
      </c>
      <c r="C98" s="7" t="str">
        <f t="shared" si="2"/>
        <v>Jan</v>
      </c>
      <c r="D98" s="8">
        <v>256000.0</v>
      </c>
      <c r="E98" s="9">
        <v>0.021</v>
      </c>
      <c r="F98" s="13">
        <f t="shared" si="6"/>
        <v>106.2685917</v>
      </c>
      <c r="G98" s="11">
        <f t="shared" si="3"/>
        <v>272047.5948</v>
      </c>
      <c r="H98" s="11">
        <f t="shared" si="4"/>
        <v>16047.59483</v>
      </c>
      <c r="I98" s="12">
        <f t="shared" si="5"/>
        <v>0.0589881886</v>
      </c>
    </row>
    <row r="99" ht="15.75" customHeight="1">
      <c r="A99" s="6">
        <v>45323.0</v>
      </c>
      <c r="B99" s="7">
        <f t="shared" si="1"/>
        <v>2024</v>
      </c>
      <c r="C99" s="7" t="str">
        <f t="shared" si="2"/>
        <v>Feb</v>
      </c>
      <c r="D99" s="8">
        <v>255000.0</v>
      </c>
      <c r="E99" s="9">
        <v>0.016</v>
      </c>
      <c r="F99" s="13">
        <f t="shared" si="6"/>
        <v>106.2855947</v>
      </c>
      <c r="G99" s="11">
        <f t="shared" si="3"/>
        <v>271028.2665</v>
      </c>
      <c r="H99" s="11">
        <f t="shared" si="4"/>
        <v>16028.2665</v>
      </c>
      <c r="I99" s="12">
        <f t="shared" si="5"/>
        <v>0.0591387264</v>
      </c>
    </row>
    <row r="100" ht="15.75" customHeight="1">
      <c r="A100" s="6">
        <v>45352.0</v>
      </c>
      <c r="B100" s="7">
        <f t="shared" si="1"/>
        <v>2024</v>
      </c>
      <c r="C100" s="7" t="str">
        <f t="shared" si="2"/>
        <v>Mar</v>
      </c>
      <c r="D100" s="8">
        <v>255000.0</v>
      </c>
      <c r="E100" s="9">
        <v>0.015</v>
      </c>
      <c r="F100" s="13">
        <f t="shared" si="6"/>
        <v>106.3015375</v>
      </c>
      <c r="G100" s="11">
        <f t="shared" si="3"/>
        <v>271068.9207</v>
      </c>
      <c r="H100" s="11">
        <f t="shared" si="4"/>
        <v>16068.92074</v>
      </c>
      <c r="I100" s="12">
        <f t="shared" si="5"/>
        <v>0.05927983443</v>
      </c>
    </row>
    <row r="101" ht="15.75" customHeight="1">
      <c r="A101" s="6">
        <v>45383.0</v>
      </c>
      <c r="B101" s="7">
        <f t="shared" si="1"/>
        <v>2024</v>
      </c>
      <c r="C101" s="7" t="str">
        <f t="shared" si="2"/>
        <v>Apr</v>
      </c>
      <c r="D101" s="8">
        <v>256000.0</v>
      </c>
      <c r="E101" s="9">
        <v>0.015</v>
      </c>
      <c r="F101" s="13">
        <f t="shared" si="6"/>
        <v>106.3174828</v>
      </c>
      <c r="G101" s="11">
        <f t="shared" si="3"/>
        <v>272172.7559</v>
      </c>
      <c r="H101" s="11">
        <f t="shared" si="4"/>
        <v>16172.75591</v>
      </c>
      <c r="I101" s="12">
        <f t="shared" si="5"/>
        <v>0.05942092129</v>
      </c>
    </row>
    <row r="102" ht="15.75" customHeight="1">
      <c r="A102" s="6">
        <v>45413.0</v>
      </c>
      <c r="B102" s="7">
        <f t="shared" si="1"/>
        <v>2024</v>
      </c>
      <c r="C102" s="7" t="str">
        <f t="shared" si="2"/>
        <v>May</v>
      </c>
      <c r="D102" s="8">
        <v>259000.0</v>
      </c>
      <c r="E102" s="9">
        <v>0.018</v>
      </c>
      <c r="F102" s="13">
        <f t="shared" si="6"/>
        <v>106.3366199</v>
      </c>
      <c r="G102" s="11">
        <f t="shared" si="3"/>
        <v>275411.8456</v>
      </c>
      <c r="H102" s="11">
        <f t="shared" si="4"/>
        <v>16411.8456</v>
      </c>
      <c r="I102" s="12">
        <f t="shared" si="5"/>
        <v>0.05959019506</v>
      </c>
    </row>
    <row r="103" ht="15.75" customHeight="1">
      <c r="A103" s="6">
        <v>45444.0</v>
      </c>
      <c r="B103" s="7">
        <f t="shared" si="1"/>
        <v>2024</v>
      </c>
      <c r="C103" s="7" t="str">
        <f t="shared" si="2"/>
        <v>Jun</v>
      </c>
      <c r="D103" s="8">
        <v>260000.0</v>
      </c>
      <c r="E103" s="9">
        <v>0.023</v>
      </c>
      <c r="F103" s="13">
        <f t="shared" si="6"/>
        <v>106.3610773</v>
      </c>
      <c r="G103" s="11">
        <f t="shared" si="3"/>
        <v>276538.8011</v>
      </c>
      <c r="H103" s="11">
        <f t="shared" si="4"/>
        <v>16538.8011</v>
      </c>
      <c r="I103" s="12">
        <f t="shared" si="5"/>
        <v>0.05980643957</v>
      </c>
    </row>
    <row r="104" ht="15.75" customHeight="1">
      <c r="A104" s="6">
        <v>45474.0</v>
      </c>
      <c r="B104" s="7">
        <f t="shared" si="1"/>
        <v>2024</v>
      </c>
      <c r="C104" s="7" t="str">
        <f t="shared" si="2"/>
        <v>Jul</v>
      </c>
      <c r="D104" s="8">
        <v>262000.0</v>
      </c>
      <c r="E104" s="9">
        <v>0.018</v>
      </c>
      <c r="F104" s="13">
        <f t="shared" si="6"/>
        <v>106.3802223</v>
      </c>
      <c r="G104" s="11">
        <f t="shared" si="3"/>
        <v>278716.1825</v>
      </c>
      <c r="H104" s="11">
        <f t="shared" si="4"/>
        <v>16716.18253</v>
      </c>
      <c r="I104" s="12">
        <f t="shared" si="5"/>
        <v>0.05997564396</v>
      </c>
    </row>
    <row r="105" ht="15.75" customHeight="1">
      <c r="A105" s="6">
        <v>45505.0</v>
      </c>
      <c r="B105" s="7">
        <f t="shared" si="1"/>
        <v>2024</v>
      </c>
      <c r="C105" s="7" t="str">
        <f t="shared" si="2"/>
        <v>Aug</v>
      </c>
      <c r="D105" s="8">
        <v>265000.0</v>
      </c>
      <c r="E105" s="9">
        <v>0.017</v>
      </c>
      <c r="F105" s="13">
        <f t="shared" si="6"/>
        <v>106.398307</v>
      </c>
      <c r="G105" s="11">
        <f t="shared" si="3"/>
        <v>281955.5135</v>
      </c>
      <c r="H105" s="11">
        <f t="shared" si="4"/>
        <v>16955.51349</v>
      </c>
      <c r="I105" s="12">
        <f t="shared" si="5"/>
        <v>0.06013542094</v>
      </c>
    </row>
    <row r="106" ht="15.75" customHeight="1">
      <c r="A106" s="6">
        <v>45536.0</v>
      </c>
      <c r="B106" s="7">
        <f t="shared" si="1"/>
        <v>2024</v>
      </c>
      <c r="C106" s="7" t="str">
        <f t="shared" si="2"/>
        <v>Sep</v>
      </c>
      <c r="D106" s="8">
        <v>265000.0</v>
      </c>
      <c r="E106" s="9">
        <v>0.024</v>
      </c>
      <c r="F106" s="13">
        <f t="shared" si="6"/>
        <v>106.4238426</v>
      </c>
      <c r="G106" s="11">
        <f t="shared" si="3"/>
        <v>282023.1828</v>
      </c>
      <c r="H106" s="11">
        <f t="shared" si="4"/>
        <v>17023.18281</v>
      </c>
      <c r="I106" s="12">
        <f t="shared" si="5"/>
        <v>0.06036093431</v>
      </c>
    </row>
    <row r="107" ht="15.75" customHeight="1">
      <c r="A107" s="6">
        <v>45566.0</v>
      </c>
      <c r="B107" s="7">
        <f t="shared" si="1"/>
        <v>2024</v>
      </c>
      <c r="C107" s="7" t="str">
        <f t="shared" si="2"/>
        <v>Oct</v>
      </c>
      <c r="D107" s="8">
        <v>265000.0</v>
      </c>
      <c r="E107" s="9">
        <v>0.026</v>
      </c>
      <c r="F107" s="13">
        <f t="shared" si="6"/>
        <v>106.4515128</v>
      </c>
      <c r="G107" s="11">
        <f t="shared" si="3"/>
        <v>282096.5088</v>
      </c>
      <c r="H107" s="11">
        <f t="shared" si="4"/>
        <v>17096.50884</v>
      </c>
      <c r="I107" s="12">
        <f t="shared" si="5"/>
        <v>0.06060517697</v>
      </c>
    </row>
    <row r="108" ht="15.75" customHeight="1">
      <c r="A108" s="6">
        <v>45597.0</v>
      </c>
      <c r="B108" s="7">
        <f t="shared" si="1"/>
        <v>2024</v>
      </c>
      <c r="C108" s="7" t="str">
        <f t="shared" si="2"/>
        <v>Nov</v>
      </c>
      <c r="D108" s="8">
        <v>265000.0</v>
      </c>
      <c r="E108" s="9">
        <v>0.025</v>
      </c>
      <c r="F108" s="13">
        <f t="shared" si="6"/>
        <v>106.4781256</v>
      </c>
      <c r="G108" s="11">
        <f t="shared" si="3"/>
        <v>282167.033</v>
      </c>
      <c r="H108" s="11">
        <f t="shared" si="4"/>
        <v>17167.03297</v>
      </c>
      <c r="I108" s="12">
        <f t="shared" si="5"/>
        <v>0.06083996697</v>
      </c>
    </row>
    <row r="109" ht="15.75" customHeight="1">
      <c r="A109" s="6">
        <v>45627.0</v>
      </c>
      <c r="B109" s="7">
        <f t="shared" si="1"/>
        <v>2024</v>
      </c>
      <c r="C109" s="7" t="str">
        <f t="shared" si="2"/>
        <v>Dec</v>
      </c>
      <c r="D109" s="8">
        <v>265000.0</v>
      </c>
      <c r="E109" s="9">
        <v>0.026</v>
      </c>
      <c r="F109" s="13">
        <f t="shared" si="6"/>
        <v>106.50581</v>
      </c>
      <c r="G109" s="11">
        <f t="shared" si="3"/>
        <v>282240.3964</v>
      </c>
      <c r="H109" s="11">
        <f t="shared" si="4"/>
        <v>17240.3964</v>
      </c>
      <c r="I109" s="12">
        <f t="shared" si="5"/>
        <v>0.06108408511</v>
      </c>
    </row>
    <row r="110" ht="15.75" customHeight="1">
      <c r="A110" s="6">
        <v>45658.0</v>
      </c>
      <c r="B110" s="7">
        <f t="shared" si="1"/>
        <v>2025</v>
      </c>
      <c r="C110" s="7" t="str">
        <f t="shared" si="2"/>
        <v>Jan</v>
      </c>
      <c r="D110" s="8">
        <v>266000.0</v>
      </c>
      <c r="E110" s="9">
        <v>0.026</v>
      </c>
      <c r="F110" s="13">
        <f t="shared" si="6"/>
        <v>106.5335015</v>
      </c>
      <c r="G110" s="11">
        <f t="shared" si="3"/>
        <v>283379.1139</v>
      </c>
      <c r="H110" s="11">
        <f t="shared" si="4"/>
        <v>17379.11391</v>
      </c>
      <c r="I110" s="12">
        <f t="shared" si="5"/>
        <v>0.0613281398</v>
      </c>
    </row>
    <row r="111" ht="15.75" customHeight="1">
      <c r="A111" s="6">
        <v>45689.0</v>
      </c>
      <c r="B111" s="7">
        <f t="shared" si="1"/>
        <v>2025</v>
      </c>
      <c r="C111" s="7" t="str">
        <f t="shared" si="2"/>
        <v>Feb</v>
      </c>
      <c r="D111" s="8">
        <v>267000.0</v>
      </c>
      <c r="E111" s="9">
        <v>0.03</v>
      </c>
      <c r="F111" s="13">
        <f t="shared" si="6"/>
        <v>106.5654615</v>
      </c>
      <c r="G111" s="11">
        <f t="shared" si="3"/>
        <v>284529.7823</v>
      </c>
      <c r="H111" s="11">
        <f t="shared" si="4"/>
        <v>17529.78226</v>
      </c>
      <c r="I111" s="12">
        <f t="shared" si="5"/>
        <v>0.0616096569</v>
      </c>
    </row>
    <row r="112" ht="15.75" customHeight="1">
      <c r="A112" s="6">
        <v>45717.0</v>
      </c>
      <c r="B112" s="7">
        <f t="shared" si="1"/>
        <v>2025</v>
      </c>
      <c r="C112" s="7" t="str">
        <f t="shared" si="2"/>
        <v>Mar</v>
      </c>
      <c r="D112" s="8">
        <v>271000.0</v>
      </c>
      <c r="E112" s="9">
        <v>0.033</v>
      </c>
      <c r="F112" s="13">
        <f t="shared" si="6"/>
        <v>106.6006281</v>
      </c>
      <c r="G112" s="11">
        <f t="shared" si="3"/>
        <v>288887.7022</v>
      </c>
      <c r="H112" s="11">
        <f t="shared" si="4"/>
        <v>17887.70222</v>
      </c>
      <c r="I112" s="12">
        <f t="shared" si="5"/>
        <v>0.06191922356</v>
      </c>
    </row>
    <row r="113" ht="15.75" customHeight="1">
      <c r="A113" s="6">
        <v>45748.0</v>
      </c>
      <c r="B113" s="7">
        <f t="shared" si="1"/>
        <v>2025</v>
      </c>
      <c r="C113" s="7" t="str">
        <f t="shared" si="2"/>
        <v>Apr</v>
      </c>
      <c r="D113" s="8">
        <v>264000.0</v>
      </c>
      <c r="E113" s="9">
        <v>0.047</v>
      </c>
      <c r="F113" s="13">
        <f t="shared" si="6"/>
        <v>106.6507304</v>
      </c>
      <c r="G113" s="11">
        <f t="shared" si="3"/>
        <v>281557.9283</v>
      </c>
      <c r="H113" s="11">
        <f t="shared" si="4"/>
        <v>17557.92831</v>
      </c>
      <c r="I113" s="12">
        <f t="shared" si="5"/>
        <v>0.0623599144</v>
      </c>
    </row>
    <row r="114" ht="15.75" customHeight="1">
      <c r="A114" s="6">
        <v>45778.0</v>
      </c>
      <c r="B114" s="7">
        <f t="shared" si="1"/>
        <v>2025</v>
      </c>
      <c r="C114" s="7" t="str">
        <f t="shared" si="2"/>
        <v>May</v>
      </c>
      <c r="D114" s="8">
        <v>265000.0</v>
      </c>
      <c r="E114" s="9">
        <v>0.049</v>
      </c>
      <c r="F114" s="13">
        <f t="shared" si="6"/>
        <v>106.7029893</v>
      </c>
      <c r="G114" s="11">
        <f t="shared" si="3"/>
        <v>282762.9216</v>
      </c>
      <c r="H114" s="11">
        <f t="shared" si="4"/>
        <v>17762.92158</v>
      </c>
      <c r="I114" s="12">
        <f t="shared" si="5"/>
        <v>0.06281913302</v>
      </c>
    </row>
    <row r="115" ht="15.75" customHeight="1">
      <c r="A115" s="6">
        <v>45809.0</v>
      </c>
      <c r="B115" s="7">
        <f t="shared" si="1"/>
        <v>2025</v>
      </c>
      <c r="C115" s="7" t="str">
        <f t="shared" si="2"/>
        <v>Jun</v>
      </c>
      <c r="D115" s="8">
        <v>269000.0</v>
      </c>
      <c r="E115" s="9">
        <v>0.047</v>
      </c>
      <c r="F115" s="13">
        <f t="shared" si="6"/>
        <v>106.7531397</v>
      </c>
      <c r="G115" s="11">
        <f t="shared" si="3"/>
        <v>287165.9457</v>
      </c>
      <c r="H115" s="11">
        <f t="shared" si="4"/>
        <v>18165.94574</v>
      </c>
      <c r="I115" s="12">
        <f t="shared" si="5"/>
        <v>0.0632594011</v>
      </c>
    </row>
    <row r="116" ht="15.75" customHeight="1">
      <c r="A116" s="6">
        <v>45839.0</v>
      </c>
      <c r="B116" s="7">
        <f t="shared" si="1"/>
        <v>2025</v>
      </c>
      <c r="C116" s="7" t="str">
        <f t="shared" si="2"/>
        <v>Jul</v>
      </c>
      <c r="D116" s="8">
        <v>271000.0</v>
      </c>
      <c r="E116" s="9">
        <v>0.046</v>
      </c>
      <c r="F116" s="13">
        <f t="shared" si="6"/>
        <v>106.8022461</v>
      </c>
      <c r="G116" s="11">
        <f t="shared" si="3"/>
        <v>289434.087</v>
      </c>
      <c r="H116" s="11">
        <f t="shared" si="4"/>
        <v>18434.087</v>
      </c>
      <c r="I116" s="12">
        <f t="shared" si="5"/>
        <v>0.06369010365</v>
      </c>
    </row>
    <row r="117" ht="15.75" customHeight="1">
      <c r="A117" s="6">
        <v>45870.0</v>
      </c>
      <c r="B117" s="7">
        <f t="shared" si="1"/>
        <v>2025</v>
      </c>
      <c r="C117" s="7" t="str">
        <f t="shared" si="2"/>
        <v>Aug</v>
      </c>
      <c r="D117" s="8">
        <v>273000.0</v>
      </c>
      <c r="E117" s="9">
        <v>0.045</v>
      </c>
      <c r="F117" s="13">
        <f t="shared" si="6"/>
        <v>106.8503071</v>
      </c>
      <c r="G117" s="11">
        <f t="shared" si="3"/>
        <v>291701.3385</v>
      </c>
      <c r="H117" s="11">
        <f t="shared" si="4"/>
        <v>18701.33848</v>
      </c>
      <c r="I117" s="12">
        <f t="shared" si="5"/>
        <v>0.06411125359</v>
      </c>
    </row>
    <row r="118" ht="15.75" customHeight="1">
      <c r="A118" s="14"/>
      <c r="D118" s="11"/>
      <c r="E118" s="12"/>
      <c r="F118" s="13"/>
      <c r="I118" s="12"/>
    </row>
    <row r="119" ht="15.75" customHeight="1">
      <c r="A119" s="14"/>
      <c r="D119" s="11"/>
      <c r="E119" s="12"/>
      <c r="F119" s="13"/>
      <c r="I119" s="12"/>
    </row>
    <row r="120" ht="15.75" customHeight="1">
      <c r="A120" s="14"/>
      <c r="D120" s="11"/>
      <c r="E120" s="12"/>
      <c r="F120" s="13"/>
      <c r="I120" s="12"/>
    </row>
    <row r="121" ht="15.75" customHeight="1">
      <c r="A121" s="14"/>
      <c r="D121" s="11"/>
      <c r="E121" s="12"/>
      <c r="F121" s="13"/>
      <c r="I121" s="12"/>
    </row>
    <row r="122" ht="15.75" customHeight="1">
      <c r="A122" s="14"/>
      <c r="D122" s="11"/>
      <c r="E122" s="12"/>
      <c r="F122" s="13"/>
      <c r="I122" s="12"/>
    </row>
    <row r="123" ht="15.75" customHeight="1">
      <c r="A123" s="14"/>
      <c r="D123" s="11"/>
      <c r="E123" s="12"/>
      <c r="F123" s="13"/>
      <c r="I123" s="12"/>
    </row>
    <row r="124" ht="15.75" customHeight="1">
      <c r="A124" s="14"/>
      <c r="D124" s="11"/>
      <c r="E124" s="12"/>
      <c r="F124" s="13"/>
      <c r="I124" s="12"/>
    </row>
    <row r="125" ht="15.75" customHeight="1">
      <c r="A125" s="14"/>
      <c r="D125" s="11"/>
      <c r="E125" s="12"/>
      <c r="F125" s="13"/>
      <c r="I125" s="12"/>
    </row>
    <row r="126" ht="15.75" customHeight="1">
      <c r="A126" s="14"/>
      <c r="D126" s="11"/>
      <c r="E126" s="12"/>
      <c r="F126" s="13"/>
      <c r="I126" s="12"/>
    </row>
    <row r="127" ht="15.75" customHeight="1">
      <c r="A127" s="14"/>
      <c r="D127" s="11"/>
      <c r="E127" s="12"/>
      <c r="F127" s="13"/>
      <c r="I127" s="12"/>
    </row>
    <row r="128" ht="15.75" customHeight="1">
      <c r="A128" s="14"/>
      <c r="D128" s="11"/>
      <c r="E128" s="12"/>
      <c r="F128" s="13"/>
      <c r="I128" s="12"/>
    </row>
    <row r="129" ht="15.75" customHeight="1">
      <c r="A129" s="14"/>
      <c r="D129" s="11"/>
      <c r="E129" s="12"/>
      <c r="F129" s="13"/>
      <c r="I129" s="12"/>
    </row>
    <row r="130" ht="15.75" customHeight="1">
      <c r="A130" s="14"/>
      <c r="D130" s="11"/>
      <c r="E130" s="12"/>
      <c r="F130" s="13"/>
      <c r="I130" s="12"/>
    </row>
    <row r="131" ht="15.75" customHeight="1">
      <c r="A131" s="14"/>
      <c r="D131" s="11"/>
      <c r="E131" s="12"/>
      <c r="F131" s="13"/>
      <c r="I131" s="12"/>
    </row>
    <row r="132" ht="15.75" customHeight="1">
      <c r="A132" s="14"/>
      <c r="D132" s="11"/>
      <c r="E132" s="12"/>
      <c r="F132" s="13"/>
      <c r="I132" s="12"/>
    </row>
    <row r="133" ht="15.75" customHeight="1">
      <c r="A133" s="14"/>
      <c r="D133" s="11"/>
      <c r="E133" s="12"/>
      <c r="F133" s="13"/>
      <c r="I133" s="12"/>
    </row>
    <row r="134" ht="15.75" customHeight="1">
      <c r="A134" s="14"/>
      <c r="D134" s="11"/>
      <c r="E134" s="12"/>
      <c r="F134" s="13"/>
      <c r="I134" s="12"/>
    </row>
    <row r="135" ht="15.75" customHeight="1">
      <c r="A135" s="14"/>
      <c r="D135" s="11"/>
      <c r="E135" s="12"/>
      <c r="F135" s="13"/>
      <c r="I135" s="12"/>
    </row>
    <row r="136" ht="15.75" customHeight="1">
      <c r="A136" s="14"/>
      <c r="D136" s="11"/>
      <c r="E136" s="12"/>
      <c r="F136" s="13"/>
      <c r="I136" s="12"/>
    </row>
    <row r="137" ht="15.75" customHeight="1">
      <c r="A137" s="14"/>
      <c r="D137" s="11"/>
      <c r="E137" s="12"/>
      <c r="F137" s="13"/>
      <c r="I137" s="12"/>
    </row>
    <row r="138" ht="15.75" customHeight="1">
      <c r="A138" s="14"/>
      <c r="D138" s="11"/>
      <c r="E138" s="12"/>
      <c r="F138" s="13"/>
      <c r="I138" s="12"/>
    </row>
    <row r="139" ht="15.75" customHeight="1">
      <c r="A139" s="14"/>
      <c r="D139" s="11"/>
      <c r="E139" s="12"/>
      <c r="F139" s="13"/>
      <c r="I139" s="12"/>
    </row>
    <row r="140" ht="15.75" customHeight="1">
      <c r="A140" s="14"/>
      <c r="D140" s="11"/>
      <c r="E140" s="12"/>
      <c r="F140" s="13"/>
      <c r="I140" s="12"/>
    </row>
    <row r="141" ht="15.75" customHeight="1">
      <c r="A141" s="14"/>
      <c r="D141" s="11"/>
      <c r="E141" s="12"/>
      <c r="F141" s="13"/>
      <c r="I141" s="12"/>
    </row>
    <row r="142" ht="15.75" customHeight="1">
      <c r="A142" s="14"/>
      <c r="D142" s="11"/>
      <c r="E142" s="12"/>
      <c r="F142" s="13"/>
      <c r="I142" s="12"/>
    </row>
    <row r="143" ht="15.75" customHeight="1">
      <c r="A143" s="14"/>
      <c r="D143" s="11"/>
      <c r="E143" s="12"/>
      <c r="F143" s="13"/>
      <c r="I143" s="12"/>
    </row>
    <row r="144" ht="15.75" customHeight="1">
      <c r="A144" s="14"/>
      <c r="D144" s="11"/>
      <c r="E144" s="12"/>
      <c r="F144" s="13"/>
      <c r="I144" s="12"/>
    </row>
    <row r="145" ht="15.75" customHeight="1">
      <c r="A145" s="14"/>
      <c r="D145" s="11"/>
      <c r="E145" s="12"/>
      <c r="F145" s="13"/>
      <c r="I145" s="12"/>
    </row>
    <row r="146" ht="15.75" customHeight="1">
      <c r="A146" s="14"/>
      <c r="D146" s="11"/>
      <c r="E146" s="12"/>
      <c r="F146" s="13"/>
      <c r="I146" s="12"/>
    </row>
    <row r="147" ht="15.75" customHeight="1">
      <c r="A147" s="14"/>
      <c r="D147" s="11"/>
      <c r="E147" s="12"/>
      <c r="F147" s="13"/>
      <c r="I147" s="12"/>
    </row>
    <row r="148" ht="15.75" customHeight="1">
      <c r="A148" s="14"/>
      <c r="D148" s="11"/>
      <c r="E148" s="12"/>
      <c r="F148" s="13"/>
      <c r="I148" s="12"/>
    </row>
    <row r="149" ht="15.75" customHeight="1">
      <c r="A149" s="14"/>
      <c r="D149" s="11"/>
      <c r="E149" s="12"/>
      <c r="F149" s="13"/>
      <c r="I149" s="12"/>
    </row>
    <row r="150" ht="15.75" customHeight="1">
      <c r="A150" s="14"/>
      <c r="D150" s="11"/>
      <c r="E150" s="12"/>
      <c r="F150" s="13"/>
      <c r="I150" s="12"/>
    </row>
    <row r="151" ht="15.75" customHeight="1">
      <c r="A151" s="14"/>
      <c r="D151" s="11"/>
      <c r="E151" s="12"/>
      <c r="F151" s="13"/>
      <c r="I151" s="12"/>
    </row>
    <row r="152" ht="15.75" customHeight="1">
      <c r="A152" s="14"/>
      <c r="D152" s="11"/>
      <c r="E152" s="12"/>
      <c r="F152" s="13"/>
      <c r="I152" s="12"/>
    </row>
    <row r="153" ht="15.75" customHeight="1">
      <c r="A153" s="14"/>
      <c r="D153" s="11"/>
      <c r="E153" s="12"/>
      <c r="F153" s="13"/>
      <c r="I153" s="12"/>
    </row>
    <row r="154" ht="15.75" customHeight="1">
      <c r="A154" s="14"/>
      <c r="D154" s="11"/>
      <c r="E154" s="12"/>
      <c r="F154" s="13"/>
      <c r="I154" s="12"/>
    </row>
    <row r="155" ht="15.75" customHeight="1">
      <c r="A155" s="14"/>
      <c r="D155" s="11"/>
      <c r="E155" s="12"/>
      <c r="F155" s="13"/>
      <c r="I155" s="12"/>
    </row>
    <row r="156" ht="15.75" customHeight="1">
      <c r="A156" s="14"/>
      <c r="D156" s="11"/>
      <c r="E156" s="12"/>
      <c r="F156" s="13"/>
      <c r="I156" s="12"/>
    </row>
    <row r="157" ht="15.75" customHeight="1">
      <c r="A157" s="14"/>
      <c r="D157" s="11"/>
      <c r="E157" s="12"/>
      <c r="F157" s="13"/>
      <c r="I157" s="12"/>
    </row>
    <row r="158" ht="15.75" customHeight="1">
      <c r="A158" s="14"/>
      <c r="D158" s="11"/>
      <c r="E158" s="12"/>
      <c r="F158" s="13"/>
      <c r="I158" s="12"/>
    </row>
    <row r="159" ht="15.75" customHeight="1">
      <c r="A159" s="14"/>
      <c r="D159" s="11"/>
      <c r="E159" s="12"/>
      <c r="F159" s="13"/>
      <c r="I159" s="12"/>
    </row>
    <row r="160" ht="15.75" customHeight="1">
      <c r="A160" s="14"/>
      <c r="D160" s="11"/>
      <c r="E160" s="12"/>
      <c r="F160" s="13"/>
      <c r="I160" s="12"/>
    </row>
    <row r="161" ht="15.75" customHeight="1">
      <c r="A161" s="14"/>
      <c r="D161" s="11"/>
      <c r="E161" s="12"/>
      <c r="F161" s="13"/>
      <c r="I161" s="12"/>
    </row>
    <row r="162" ht="15.75" customHeight="1">
      <c r="A162" s="14"/>
      <c r="D162" s="11"/>
      <c r="E162" s="12"/>
      <c r="F162" s="13"/>
      <c r="I162" s="12"/>
    </row>
    <row r="163" ht="15.75" customHeight="1">
      <c r="A163" s="14"/>
      <c r="D163" s="11"/>
      <c r="E163" s="12"/>
      <c r="F163" s="13"/>
      <c r="I163" s="12"/>
    </row>
    <row r="164" ht="15.75" customHeight="1">
      <c r="A164" s="14"/>
      <c r="D164" s="11"/>
      <c r="E164" s="12"/>
      <c r="F164" s="13"/>
      <c r="I164" s="12"/>
    </row>
    <row r="165" ht="15.75" customHeight="1">
      <c r="A165" s="14"/>
      <c r="D165" s="11"/>
      <c r="E165" s="12"/>
      <c r="F165" s="13"/>
      <c r="I165" s="12"/>
    </row>
    <row r="166" ht="15.75" customHeight="1">
      <c r="A166" s="14"/>
      <c r="D166" s="11"/>
      <c r="E166" s="12"/>
      <c r="F166" s="13"/>
      <c r="I166" s="12"/>
    </row>
    <row r="167" ht="15.75" customHeight="1">
      <c r="A167" s="14"/>
      <c r="D167" s="11"/>
      <c r="E167" s="12"/>
      <c r="F167" s="13"/>
      <c r="I167" s="12"/>
    </row>
    <row r="168" ht="15.75" customHeight="1">
      <c r="A168" s="14"/>
      <c r="D168" s="11"/>
      <c r="E168" s="12"/>
      <c r="F168" s="13"/>
      <c r="I168" s="12"/>
    </row>
    <row r="169" ht="15.75" customHeight="1">
      <c r="A169" s="14"/>
      <c r="D169" s="11"/>
      <c r="E169" s="12"/>
      <c r="F169" s="13"/>
      <c r="I169" s="12"/>
    </row>
    <row r="170" ht="15.75" customHeight="1">
      <c r="A170" s="14"/>
      <c r="D170" s="11"/>
      <c r="E170" s="12"/>
      <c r="F170" s="13"/>
      <c r="I170" s="12"/>
    </row>
    <row r="171" ht="15.75" customHeight="1">
      <c r="A171" s="14"/>
      <c r="D171" s="11"/>
      <c r="E171" s="12"/>
      <c r="F171" s="13"/>
      <c r="I171" s="12"/>
    </row>
    <row r="172" ht="15.75" customHeight="1">
      <c r="A172" s="14"/>
      <c r="D172" s="11"/>
      <c r="E172" s="12"/>
      <c r="F172" s="13"/>
      <c r="I172" s="12"/>
    </row>
    <row r="173" ht="15.75" customHeight="1">
      <c r="A173" s="14"/>
      <c r="D173" s="11"/>
      <c r="E173" s="12"/>
      <c r="F173" s="13"/>
      <c r="I173" s="12"/>
    </row>
    <row r="174" ht="15.75" customHeight="1">
      <c r="A174" s="14"/>
      <c r="D174" s="11"/>
      <c r="E174" s="12"/>
      <c r="F174" s="13"/>
      <c r="I174" s="12"/>
    </row>
    <row r="175" ht="15.75" customHeight="1">
      <c r="A175" s="14"/>
      <c r="D175" s="11"/>
      <c r="E175" s="12"/>
      <c r="F175" s="13"/>
      <c r="I175" s="12"/>
    </row>
    <row r="176" ht="15.75" customHeight="1">
      <c r="A176" s="14"/>
      <c r="D176" s="11"/>
      <c r="E176" s="12"/>
      <c r="F176" s="13"/>
      <c r="I176" s="12"/>
    </row>
    <row r="177" ht="15.75" customHeight="1">
      <c r="A177" s="14"/>
      <c r="D177" s="11"/>
      <c r="E177" s="12"/>
      <c r="F177" s="13"/>
      <c r="I177" s="12"/>
    </row>
    <row r="178" ht="15.75" customHeight="1">
      <c r="A178" s="14"/>
      <c r="D178" s="11"/>
      <c r="E178" s="12"/>
      <c r="F178" s="13"/>
      <c r="I178" s="12"/>
    </row>
    <row r="179" ht="15.75" customHeight="1">
      <c r="A179" s="14"/>
      <c r="D179" s="11"/>
      <c r="E179" s="12"/>
      <c r="F179" s="13"/>
      <c r="I179" s="12"/>
    </row>
    <row r="180" ht="15.75" customHeight="1">
      <c r="A180" s="14"/>
      <c r="D180" s="11"/>
      <c r="E180" s="12"/>
      <c r="F180" s="13"/>
      <c r="I180" s="12"/>
    </row>
    <row r="181" ht="15.75" customHeight="1">
      <c r="A181" s="14"/>
      <c r="D181" s="11"/>
      <c r="E181" s="12"/>
      <c r="F181" s="13"/>
      <c r="I181" s="12"/>
    </row>
    <row r="182" ht="15.75" customHeight="1">
      <c r="A182" s="14"/>
      <c r="D182" s="11"/>
      <c r="E182" s="12"/>
      <c r="F182" s="13"/>
      <c r="I182" s="12"/>
    </row>
    <row r="183" ht="15.75" customHeight="1">
      <c r="A183" s="14"/>
      <c r="D183" s="11"/>
      <c r="E183" s="12"/>
      <c r="F183" s="13"/>
      <c r="I183" s="12"/>
    </row>
    <row r="184" ht="15.75" customHeight="1">
      <c r="A184" s="14"/>
      <c r="D184" s="11"/>
      <c r="E184" s="12"/>
      <c r="F184" s="13"/>
      <c r="I184" s="12"/>
    </row>
    <row r="185" ht="15.75" customHeight="1">
      <c r="A185" s="14"/>
      <c r="D185" s="11"/>
      <c r="E185" s="12"/>
      <c r="F185" s="13"/>
      <c r="I185" s="12"/>
    </row>
    <row r="186" ht="15.75" customHeight="1">
      <c r="A186" s="14"/>
      <c r="D186" s="11"/>
      <c r="E186" s="12"/>
      <c r="F186" s="13"/>
      <c r="I186" s="12"/>
    </row>
    <row r="187" ht="15.75" customHeight="1">
      <c r="A187" s="14"/>
      <c r="D187" s="11"/>
      <c r="E187" s="12"/>
      <c r="F187" s="13"/>
      <c r="I187" s="12"/>
    </row>
    <row r="188" ht="15.75" customHeight="1">
      <c r="A188" s="14"/>
      <c r="D188" s="11"/>
      <c r="E188" s="12"/>
      <c r="F188" s="13"/>
      <c r="I188" s="12"/>
    </row>
    <row r="189" ht="15.75" customHeight="1">
      <c r="A189" s="14"/>
      <c r="D189" s="11"/>
      <c r="E189" s="12"/>
      <c r="F189" s="13"/>
      <c r="I189" s="12"/>
    </row>
    <row r="190" ht="15.75" customHeight="1">
      <c r="A190" s="14"/>
      <c r="D190" s="11"/>
      <c r="E190" s="12"/>
      <c r="F190" s="13"/>
      <c r="I190" s="12"/>
    </row>
    <row r="191" ht="15.75" customHeight="1">
      <c r="A191" s="14"/>
      <c r="D191" s="11"/>
      <c r="E191" s="12"/>
      <c r="F191" s="13"/>
      <c r="I191" s="12"/>
    </row>
    <row r="192" ht="15.75" customHeight="1">
      <c r="A192" s="14"/>
      <c r="D192" s="11"/>
      <c r="E192" s="12"/>
      <c r="F192" s="13"/>
      <c r="I192" s="12"/>
    </row>
    <row r="193" ht="15.75" customHeight="1">
      <c r="A193" s="14"/>
      <c r="D193" s="11"/>
      <c r="E193" s="12"/>
      <c r="F193" s="13"/>
      <c r="I193" s="12"/>
    </row>
    <row r="194" ht="15.75" customHeight="1">
      <c r="A194" s="14"/>
      <c r="D194" s="11"/>
      <c r="E194" s="12"/>
      <c r="F194" s="13"/>
      <c r="I194" s="12"/>
    </row>
    <row r="195" ht="15.75" customHeight="1">
      <c r="A195" s="14"/>
      <c r="D195" s="11"/>
      <c r="E195" s="12"/>
      <c r="F195" s="13"/>
      <c r="I195" s="12"/>
    </row>
    <row r="196" ht="15.75" customHeight="1">
      <c r="A196" s="14"/>
      <c r="D196" s="11"/>
      <c r="E196" s="12"/>
      <c r="F196" s="13"/>
      <c r="I196" s="12"/>
    </row>
    <row r="197" ht="15.75" customHeight="1">
      <c r="A197" s="14"/>
      <c r="D197" s="11"/>
      <c r="E197" s="12"/>
      <c r="F197" s="13"/>
      <c r="I197" s="12"/>
    </row>
    <row r="198" ht="15.75" customHeight="1">
      <c r="A198" s="14"/>
      <c r="D198" s="11"/>
      <c r="E198" s="12"/>
      <c r="F198" s="13"/>
      <c r="I198" s="12"/>
    </row>
    <row r="199" ht="15.75" customHeight="1">
      <c r="A199" s="14"/>
      <c r="D199" s="11"/>
      <c r="E199" s="12"/>
      <c r="F199" s="13"/>
      <c r="I199" s="12"/>
    </row>
    <row r="200" ht="15.75" customHeight="1">
      <c r="A200" s="14"/>
      <c r="D200" s="11"/>
      <c r="E200" s="12"/>
      <c r="F200" s="13"/>
      <c r="I200" s="12"/>
    </row>
    <row r="201" ht="15.75" customHeight="1">
      <c r="A201" s="14"/>
      <c r="D201" s="11"/>
      <c r="E201" s="12"/>
      <c r="F201" s="13"/>
      <c r="I201" s="12"/>
    </row>
    <row r="202" ht="15.75" customHeight="1">
      <c r="A202" s="14"/>
      <c r="D202" s="11"/>
      <c r="E202" s="12"/>
      <c r="F202" s="13"/>
      <c r="I202" s="12"/>
    </row>
    <row r="203" ht="15.75" customHeight="1">
      <c r="A203" s="14"/>
      <c r="D203" s="11"/>
      <c r="E203" s="12"/>
      <c r="F203" s="13"/>
      <c r="I203" s="12"/>
    </row>
    <row r="204" ht="15.75" customHeight="1">
      <c r="A204" s="14"/>
      <c r="D204" s="11"/>
      <c r="E204" s="12"/>
      <c r="F204" s="13"/>
      <c r="I204" s="12"/>
    </row>
    <row r="205" ht="15.75" customHeight="1">
      <c r="A205" s="14"/>
      <c r="D205" s="11"/>
      <c r="E205" s="12"/>
      <c r="F205" s="13"/>
      <c r="I205" s="12"/>
    </row>
    <row r="206" ht="15.75" customHeight="1">
      <c r="A206" s="14"/>
      <c r="D206" s="11"/>
      <c r="E206" s="12"/>
      <c r="F206" s="13"/>
      <c r="I206" s="12"/>
    </row>
    <row r="207" ht="15.75" customHeight="1">
      <c r="A207" s="14"/>
      <c r="D207" s="11"/>
      <c r="E207" s="12"/>
      <c r="F207" s="13"/>
      <c r="I207" s="12"/>
    </row>
    <row r="208" ht="15.75" customHeight="1">
      <c r="A208" s="14"/>
      <c r="D208" s="11"/>
      <c r="E208" s="12"/>
      <c r="F208" s="13"/>
      <c r="I208" s="12"/>
    </row>
    <row r="209" ht="15.75" customHeight="1">
      <c r="A209" s="14"/>
      <c r="D209" s="11"/>
      <c r="E209" s="12"/>
      <c r="F209" s="13"/>
      <c r="I209" s="12"/>
    </row>
    <row r="210" ht="15.75" customHeight="1">
      <c r="A210" s="14"/>
      <c r="D210" s="11"/>
      <c r="E210" s="12"/>
      <c r="F210" s="13"/>
      <c r="I210" s="12"/>
    </row>
    <row r="211" ht="15.75" customHeight="1">
      <c r="A211" s="14"/>
      <c r="D211" s="11"/>
      <c r="E211" s="12"/>
      <c r="F211" s="13"/>
      <c r="I211" s="12"/>
    </row>
    <row r="212" ht="15.75" customHeight="1">
      <c r="A212" s="14"/>
      <c r="D212" s="11"/>
      <c r="E212" s="12"/>
      <c r="F212" s="13"/>
      <c r="I212" s="12"/>
    </row>
    <row r="213" ht="15.75" customHeight="1">
      <c r="A213" s="14"/>
      <c r="D213" s="11"/>
      <c r="E213" s="12"/>
      <c r="F213" s="13"/>
      <c r="I213" s="12"/>
    </row>
    <row r="214" ht="15.75" customHeight="1">
      <c r="A214" s="14"/>
      <c r="D214" s="11"/>
      <c r="E214" s="12"/>
      <c r="F214" s="13"/>
      <c r="I214" s="12"/>
    </row>
    <row r="215" ht="15.75" customHeight="1">
      <c r="A215" s="14"/>
      <c r="D215" s="11"/>
      <c r="E215" s="12"/>
      <c r="F215" s="13"/>
      <c r="I215" s="12"/>
    </row>
    <row r="216" ht="15.75" customHeight="1">
      <c r="A216" s="14"/>
      <c r="D216" s="11"/>
      <c r="E216" s="12"/>
      <c r="F216" s="13"/>
      <c r="I216" s="12"/>
    </row>
    <row r="217" ht="15.75" customHeight="1">
      <c r="A217" s="14"/>
      <c r="D217" s="11"/>
      <c r="E217" s="12"/>
      <c r="F217" s="13"/>
      <c r="I217" s="12"/>
    </row>
    <row r="218" ht="15.75" customHeight="1">
      <c r="A218" s="14"/>
      <c r="D218" s="11"/>
      <c r="E218" s="12"/>
      <c r="F218" s="13"/>
      <c r="I218" s="12"/>
    </row>
    <row r="219" ht="15.75" customHeight="1">
      <c r="A219" s="14"/>
      <c r="D219" s="11"/>
      <c r="E219" s="12"/>
      <c r="F219" s="13"/>
      <c r="I219" s="12"/>
    </row>
    <row r="220" ht="15.75" customHeight="1">
      <c r="A220" s="14"/>
      <c r="D220" s="11"/>
      <c r="E220" s="12"/>
      <c r="F220" s="13"/>
      <c r="I220" s="12"/>
    </row>
    <row r="221" ht="15.75" customHeight="1">
      <c r="A221" s="14"/>
      <c r="D221" s="11"/>
      <c r="E221" s="12"/>
      <c r="F221" s="13"/>
      <c r="I221" s="12"/>
    </row>
    <row r="222" ht="15.75" customHeight="1">
      <c r="A222" s="14"/>
      <c r="D222" s="11"/>
      <c r="E222" s="12"/>
      <c r="F222" s="13"/>
      <c r="I222" s="12"/>
    </row>
    <row r="223" ht="15.75" customHeight="1">
      <c r="A223" s="14"/>
      <c r="D223" s="11"/>
      <c r="E223" s="12"/>
      <c r="F223" s="13"/>
      <c r="I223" s="12"/>
    </row>
    <row r="224" ht="15.75" customHeight="1">
      <c r="A224" s="14"/>
      <c r="D224" s="11"/>
      <c r="E224" s="12"/>
      <c r="F224" s="13"/>
      <c r="I224" s="12"/>
    </row>
    <row r="225" ht="15.75" customHeight="1">
      <c r="A225" s="14"/>
      <c r="D225" s="11"/>
      <c r="E225" s="12"/>
      <c r="F225" s="13"/>
      <c r="I225" s="12"/>
    </row>
    <row r="226" ht="15.75" customHeight="1">
      <c r="A226" s="14"/>
      <c r="D226" s="11"/>
      <c r="E226" s="12"/>
      <c r="F226" s="13"/>
      <c r="I226" s="12"/>
    </row>
    <row r="227" ht="15.75" customHeight="1">
      <c r="A227" s="14"/>
      <c r="D227" s="11"/>
      <c r="E227" s="12"/>
      <c r="F227" s="13"/>
      <c r="I227" s="12"/>
    </row>
    <row r="228" ht="15.75" customHeight="1">
      <c r="A228" s="14"/>
      <c r="D228" s="11"/>
      <c r="E228" s="12"/>
      <c r="F228" s="13"/>
      <c r="I228" s="12"/>
    </row>
    <row r="229" ht="15.75" customHeight="1">
      <c r="A229" s="14"/>
      <c r="D229" s="11"/>
      <c r="E229" s="12"/>
      <c r="F229" s="13"/>
      <c r="I229" s="12"/>
    </row>
    <row r="230" ht="15.75" customHeight="1">
      <c r="A230" s="14"/>
      <c r="D230" s="11"/>
      <c r="E230" s="12"/>
      <c r="F230" s="13"/>
      <c r="I230" s="12"/>
    </row>
    <row r="231" ht="15.75" customHeight="1">
      <c r="A231" s="14"/>
      <c r="D231" s="11"/>
      <c r="E231" s="12"/>
      <c r="F231" s="13"/>
      <c r="I231" s="12"/>
    </row>
    <row r="232" ht="15.75" customHeight="1">
      <c r="A232" s="14"/>
      <c r="D232" s="11"/>
      <c r="E232" s="12"/>
      <c r="F232" s="13"/>
      <c r="I232" s="12"/>
    </row>
    <row r="233" ht="15.75" customHeight="1">
      <c r="A233" s="14"/>
      <c r="D233" s="11"/>
      <c r="E233" s="12"/>
      <c r="F233" s="13"/>
      <c r="I233" s="12"/>
    </row>
    <row r="234" ht="15.75" customHeight="1">
      <c r="A234" s="14"/>
      <c r="D234" s="11"/>
      <c r="E234" s="12"/>
      <c r="F234" s="13"/>
      <c r="I234" s="12"/>
    </row>
    <row r="235" ht="15.75" customHeight="1">
      <c r="A235" s="14"/>
      <c r="D235" s="11"/>
      <c r="E235" s="12"/>
      <c r="F235" s="13"/>
      <c r="I235" s="12"/>
    </row>
    <row r="236" ht="15.75" customHeight="1">
      <c r="A236" s="14"/>
      <c r="D236" s="11"/>
      <c r="E236" s="12"/>
      <c r="F236" s="13"/>
      <c r="I236" s="12"/>
    </row>
    <row r="237" ht="15.75" customHeight="1">
      <c r="A237" s="14"/>
      <c r="D237" s="11"/>
      <c r="E237" s="12"/>
      <c r="F237" s="13"/>
      <c r="I237" s="12"/>
    </row>
    <row r="238" ht="15.75" customHeight="1">
      <c r="A238" s="14"/>
      <c r="D238" s="11"/>
      <c r="E238" s="12"/>
      <c r="F238" s="13"/>
      <c r="I238" s="12"/>
    </row>
    <row r="239" ht="15.75" customHeight="1">
      <c r="A239" s="14"/>
      <c r="D239" s="11"/>
      <c r="E239" s="12"/>
      <c r="F239" s="13"/>
      <c r="I239" s="12"/>
    </row>
    <row r="240" ht="15.75" customHeight="1">
      <c r="A240" s="14"/>
      <c r="D240" s="11"/>
      <c r="E240" s="12"/>
      <c r="F240" s="13"/>
      <c r="I240" s="12"/>
    </row>
    <row r="241" ht="15.75" customHeight="1">
      <c r="A241" s="14"/>
      <c r="D241" s="11"/>
      <c r="E241" s="12"/>
      <c r="F241" s="13"/>
      <c r="I241" s="12"/>
    </row>
    <row r="242" ht="15.75" customHeight="1">
      <c r="A242" s="14"/>
      <c r="D242" s="11"/>
      <c r="E242" s="12"/>
      <c r="F242" s="13"/>
      <c r="I242" s="12"/>
    </row>
    <row r="243" ht="15.75" customHeight="1">
      <c r="A243" s="14"/>
      <c r="D243" s="11"/>
      <c r="E243" s="12"/>
      <c r="F243" s="13"/>
      <c r="I243" s="12"/>
    </row>
    <row r="244" ht="15.75" customHeight="1">
      <c r="A244" s="14"/>
      <c r="D244" s="11"/>
      <c r="E244" s="12"/>
      <c r="F244" s="13"/>
      <c r="I244" s="12"/>
    </row>
    <row r="245" ht="15.75" customHeight="1">
      <c r="A245" s="14"/>
      <c r="D245" s="11"/>
      <c r="E245" s="12"/>
      <c r="F245" s="13"/>
      <c r="I245" s="12"/>
    </row>
    <row r="246" ht="15.75" customHeight="1">
      <c r="A246" s="14"/>
      <c r="D246" s="11"/>
      <c r="E246" s="12"/>
      <c r="F246" s="13"/>
      <c r="I246" s="12"/>
    </row>
    <row r="247" ht="15.75" customHeight="1">
      <c r="A247" s="14"/>
      <c r="D247" s="11"/>
      <c r="E247" s="12"/>
      <c r="F247" s="13"/>
      <c r="I247" s="12"/>
    </row>
    <row r="248" ht="15.75" customHeight="1">
      <c r="A248" s="14"/>
      <c r="D248" s="11"/>
      <c r="E248" s="12"/>
      <c r="F248" s="13"/>
      <c r="I248" s="12"/>
    </row>
    <row r="249" ht="15.75" customHeight="1">
      <c r="A249" s="14"/>
      <c r="D249" s="11"/>
      <c r="E249" s="12"/>
      <c r="F249" s="13"/>
      <c r="I249" s="12"/>
    </row>
    <row r="250" ht="15.75" customHeight="1">
      <c r="A250" s="14"/>
      <c r="D250" s="11"/>
      <c r="E250" s="12"/>
      <c r="F250" s="13"/>
      <c r="I250" s="12"/>
    </row>
    <row r="251" ht="15.75" customHeight="1">
      <c r="A251" s="14"/>
      <c r="D251" s="11"/>
      <c r="E251" s="12"/>
      <c r="F251" s="13"/>
      <c r="I251" s="12"/>
    </row>
    <row r="252" ht="15.75" customHeight="1">
      <c r="A252" s="14"/>
      <c r="D252" s="11"/>
      <c r="E252" s="12"/>
      <c r="F252" s="13"/>
      <c r="I252" s="12"/>
    </row>
    <row r="253" ht="15.75" customHeight="1">
      <c r="A253" s="14"/>
      <c r="D253" s="11"/>
      <c r="E253" s="12"/>
      <c r="F253" s="13"/>
      <c r="I253" s="12"/>
    </row>
    <row r="254" ht="15.75" customHeight="1">
      <c r="A254" s="14"/>
      <c r="D254" s="11"/>
      <c r="E254" s="12"/>
      <c r="F254" s="13"/>
      <c r="I254" s="12"/>
    </row>
    <row r="255" ht="15.75" customHeight="1">
      <c r="A255" s="14"/>
      <c r="D255" s="11"/>
      <c r="E255" s="12"/>
      <c r="F255" s="13"/>
      <c r="I255" s="12"/>
    </row>
    <row r="256" ht="15.75" customHeight="1">
      <c r="A256" s="14"/>
      <c r="D256" s="11"/>
      <c r="E256" s="12"/>
      <c r="F256" s="13"/>
      <c r="I256" s="12"/>
    </row>
    <row r="257" ht="15.75" customHeight="1">
      <c r="A257" s="14"/>
      <c r="D257" s="11"/>
      <c r="E257" s="12"/>
      <c r="F257" s="13"/>
      <c r="I257" s="12"/>
    </row>
    <row r="258" ht="15.75" customHeight="1">
      <c r="A258" s="14"/>
      <c r="D258" s="11"/>
      <c r="E258" s="12"/>
      <c r="F258" s="13"/>
      <c r="I258" s="12"/>
    </row>
    <row r="259" ht="15.75" customHeight="1">
      <c r="A259" s="14"/>
      <c r="D259" s="11"/>
      <c r="E259" s="12"/>
      <c r="F259" s="13"/>
      <c r="I259" s="12"/>
    </row>
    <row r="260" ht="15.75" customHeight="1">
      <c r="A260" s="14"/>
      <c r="D260" s="11"/>
      <c r="E260" s="12"/>
      <c r="F260" s="13"/>
      <c r="I260" s="12"/>
    </row>
    <row r="261" ht="15.75" customHeight="1">
      <c r="A261" s="14"/>
      <c r="D261" s="11"/>
      <c r="E261" s="12"/>
      <c r="F261" s="13"/>
      <c r="I261" s="12"/>
    </row>
    <row r="262" ht="15.75" customHeight="1">
      <c r="A262" s="14"/>
      <c r="D262" s="11"/>
      <c r="E262" s="12"/>
      <c r="F262" s="13"/>
      <c r="I262" s="12"/>
    </row>
    <row r="263" ht="15.75" customHeight="1">
      <c r="A263" s="14"/>
      <c r="D263" s="11"/>
      <c r="E263" s="12"/>
      <c r="F263" s="13"/>
      <c r="I263" s="12"/>
    </row>
    <row r="264" ht="15.75" customHeight="1">
      <c r="A264" s="14"/>
      <c r="D264" s="11"/>
      <c r="E264" s="12"/>
      <c r="F264" s="13"/>
      <c r="I264" s="12"/>
    </row>
    <row r="265" ht="15.75" customHeight="1">
      <c r="A265" s="14"/>
      <c r="D265" s="11"/>
      <c r="E265" s="12"/>
      <c r="F265" s="13"/>
      <c r="I265" s="12"/>
    </row>
    <row r="266" ht="15.75" customHeight="1">
      <c r="A266" s="14"/>
      <c r="D266" s="11"/>
      <c r="E266" s="12"/>
      <c r="F266" s="13"/>
      <c r="I266" s="12"/>
    </row>
    <row r="267" ht="15.75" customHeight="1">
      <c r="A267" s="14"/>
      <c r="D267" s="11"/>
      <c r="E267" s="12"/>
      <c r="F267" s="13"/>
      <c r="I267" s="12"/>
    </row>
    <row r="268" ht="15.75" customHeight="1">
      <c r="A268" s="14"/>
      <c r="D268" s="11"/>
      <c r="E268" s="12"/>
      <c r="F268" s="13"/>
      <c r="I268" s="12"/>
    </row>
    <row r="269" ht="15.75" customHeight="1">
      <c r="A269" s="14"/>
      <c r="D269" s="11"/>
      <c r="E269" s="12"/>
      <c r="F269" s="13"/>
      <c r="I269" s="12"/>
    </row>
    <row r="270" ht="15.75" customHeight="1">
      <c r="A270" s="14"/>
      <c r="D270" s="11"/>
      <c r="E270" s="12"/>
      <c r="F270" s="13"/>
      <c r="I270" s="12"/>
    </row>
    <row r="271" ht="15.75" customHeight="1">
      <c r="A271" s="14"/>
      <c r="D271" s="11"/>
      <c r="E271" s="12"/>
      <c r="F271" s="13"/>
      <c r="I271" s="12"/>
    </row>
    <row r="272" ht="15.75" customHeight="1">
      <c r="A272" s="14"/>
      <c r="D272" s="11"/>
      <c r="E272" s="12"/>
      <c r="F272" s="13"/>
      <c r="I272" s="12"/>
    </row>
    <row r="273" ht="15.75" customHeight="1">
      <c r="A273" s="14"/>
      <c r="D273" s="11"/>
      <c r="E273" s="12"/>
      <c r="F273" s="13"/>
      <c r="I273" s="12"/>
    </row>
    <row r="274" ht="15.75" customHeight="1">
      <c r="A274" s="14"/>
      <c r="D274" s="11"/>
      <c r="E274" s="12"/>
      <c r="F274" s="13"/>
      <c r="I274" s="12"/>
    </row>
    <row r="275" ht="15.75" customHeight="1">
      <c r="A275" s="14"/>
      <c r="D275" s="11"/>
      <c r="E275" s="12"/>
      <c r="F275" s="13"/>
      <c r="I275" s="12"/>
    </row>
    <row r="276" ht="15.75" customHeight="1">
      <c r="A276" s="14"/>
      <c r="D276" s="11"/>
      <c r="E276" s="12"/>
      <c r="F276" s="13"/>
      <c r="I276" s="12"/>
    </row>
    <row r="277" ht="15.75" customHeight="1">
      <c r="A277" s="14"/>
      <c r="D277" s="11"/>
      <c r="E277" s="12"/>
      <c r="F277" s="13"/>
      <c r="I277" s="12"/>
    </row>
    <row r="278" ht="15.75" customHeight="1">
      <c r="A278" s="14"/>
      <c r="D278" s="11"/>
      <c r="E278" s="12"/>
      <c r="F278" s="13"/>
      <c r="I278" s="12"/>
    </row>
    <row r="279" ht="15.75" customHeight="1">
      <c r="A279" s="14"/>
      <c r="D279" s="11"/>
      <c r="E279" s="12"/>
      <c r="F279" s="13"/>
      <c r="I279" s="12"/>
    </row>
    <row r="280" ht="15.75" customHeight="1">
      <c r="A280" s="14"/>
      <c r="D280" s="11"/>
      <c r="E280" s="12"/>
      <c r="F280" s="13"/>
      <c r="I280" s="12"/>
    </row>
    <row r="281" ht="15.75" customHeight="1">
      <c r="A281" s="14"/>
      <c r="D281" s="11"/>
      <c r="E281" s="12"/>
      <c r="F281" s="13"/>
      <c r="I281" s="12"/>
    </row>
    <row r="282" ht="15.75" customHeight="1">
      <c r="A282" s="14"/>
      <c r="D282" s="11"/>
      <c r="E282" s="12"/>
      <c r="F282" s="13"/>
      <c r="I282" s="12"/>
    </row>
    <row r="283" ht="15.75" customHeight="1">
      <c r="A283" s="14"/>
      <c r="D283" s="11"/>
      <c r="E283" s="12"/>
      <c r="F283" s="13"/>
      <c r="I283" s="12"/>
    </row>
    <row r="284" ht="15.75" customHeight="1">
      <c r="A284" s="14"/>
      <c r="D284" s="11"/>
      <c r="E284" s="12"/>
      <c r="F284" s="13"/>
      <c r="I284" s="12"/>
    </row>
    <row r="285" ht="15.75" customHeight="1">
      <c r="A285" s="14"/>
      <c r="D285" s="11"/>
      <c r="E285" s="12"/>
      <c r="F285" s="13"/>
      <c r="I285" s="12"/>
    </row>
    <row r="286" ht="15.75" customHeight="1">
      <c r="A286" s="14"/>
      <c r="D286" s="11"/>
      <c r="E286" s="12"/>
      <c r="F286" s="13"/>
      <c r="I286" s="12"/>
    </row>
    <row r="287" ht="15.75" customHeight="1">
      <c r="A287" s="14"/>
      <c r="D287" s="11"/>
      <c r="E287" s="12"/>
      <c r="F287" s="13"/>
      <c r="I287" s="12"/>
    </row>
    <row r="288" ht="15.75" customHeight="1">
      <c r="A288" s="14"/>
      <c r="D288" s="11"/>
      <c r="E288" s="12"/>
      <c r="F288" s="13"/>
      <c r="I288" s="12"/>
    </row>
    <row r="289" ht="15.75" customHeight="1">
      <c r="A289" s="14"/>
      <c r="D289" s="11"/>
      <c r="E289" s="12"/>
      <c r="F289" s="13"/>
      <c r="I289" s="12"/>
    </row>
    <row r="290" ht="15.75" customHeight="1">
      <c r="A290" s="14"/>
      <c r="D290" s="11"/>
      <c r="E290" s="12"/>
      <c r="F290" s="13"/>
      <c r="I290" s="12"/>
    </row>
    <row r="291" ht="15.75" customHeight="1">
      <c r="A291" s="14"/>
      <c r="D291" s="11"/>
      <c r="E291" s="12"/>
      <c r="F291" s="13"/>
      <c r="I291" s="12"/>
    </row>
    <row r="292" ht="15.75" customHeight="1">
      <c r="A292" s="14"/>
      <c r="D292" s="11"/>
      <c r="E292" s="12"/>
      <c r="F292" s="13"/>
      <c r="I292" s="12"/>
    </row>
    <row r="293" ht="15.75" customHeight="1">
      <c r="A293" s="14"/>
      <c r="D293" s="11"/>
      <c r="E293" s="12"/>
      <c r="F293" s="13"/>
      <c r="I293" s="12"/>
    </row>
    <row r="294" ht="15.75" customHeight="1">
      <c r="A294" s="14"/>
      <c r="D294" s="11"/>
      <c r="E294" s="12"/>
      <c r="F294" s="13"/>
      <c r="I294" s="12"/>
    </row>
    <row r="295" ht="15.75" customHeight="1">
      <c r="A295" s="14"/>
      <c r="D295" s="11"/>
      <c r="E295" s="12"/>
      <c r="F295" s="13"/>
      <c r="I295" s="12"/>
    </row>
    <row r="296" ht="15.75" customHeight="1">
      <c r="A296" s="14"/>
      <c r="D296" s="11"/>
      <c r="E296" s="12"/>
      <c r="F296" s="13"/>
      <c r="I296" s="12"/>
    </row>
    <row r="297" ht="15.75" customHeight="1">
      <c r="A297" s="14"/>
      <c r="D297" s="11"/>
      <c r="E297" s="12"/>
      <c r="F297" s="13"/>
      <c r="I297" s="12"/>
    </row>
    <row r="298" ht="15.75" customHeight="1">
      <c r="A298" s="14"/>
      <c r="D298" s="11"/>
      <c r="E298" s="12"/>
      <c r="F298" s="13"/>
      <c r="I298" s="12"/>
    </row>
    <row r="299" ht="15.75" customHeight="1">
      <c r="A299" s="14"/>
      <c r="D299" s="11"/>
      <c r="E299" s="12"/>
      <c r="F299" s="13"/>
      <c r="I299" s="12"/>
    </row>
    <row r="300" ht="15.75" customHeight="1">
      <c r="A300" s="14"/>
      <c r="D300" s="11"/>
      <c r="E300" s="12"/>
      <c r="F300" s="13"/>
      <c r="I300" s="12"/>
    </row>
    <row r="301" ht="15.75" customHeight="1">
      <c r="A301" s="14"/>
      <c r="D301" s="11"/>
      <c r="E301" s="12"/>
      <c r="F301" s="13"/>
      <c r="I301" s="12"/>
    </row>
    <row r="302" ht="15.75" customHeight="1">
      <c r="A302" s="14"/>
      <c r="D302" s="11"/>
      <c r="E302" s="12"/>
      <c r="F302" s="13"/>
      <c r="I302" s="12"/>
    </row>
    <row r="303" ht="15.75" customHeight="1">
      <c r="A303" s="14"/>
      <c r="D303" s="11"/>
      <c r="E303" s="12"/>
      <c r="F303" s="13"/>
      <c r="I303" s="12"/>
    </row>
    <row r="304" ht="15.75" customHeight="1">
      <c r="A304" s="14"/>
      <c r="D304" s="11"/>
      <c r="E304" s="12"/>
      <c r="F304" s="13"/>
      <c r="I304" s="12"/>
    </row>
    <row r="305" ht="15.75" customHeight="1">
      <c r="A305" s="14"/>
      <c r="D305" s="11"/>
      <c r="E305" s="12"/>
      <c r="F305" s="13"/>
      <c r="I305" s="12"/>
    </row>
    <row r="306" ht="15.75" customHeight="1">
      <c r="A306" s="14"/>
      <c r="D306" s="11"/>
      <c r="E306" s="12"/>
      <c r="F306" s="13"/>
      <c r="I306" s="12"/>
    </row>
    <row r="307" ht="15.75" customHeight="1">
      <c r="A307" s="14"/>
      <c r="D307" s="11"/>
      <c r="E307" s="12"/>
      <c r="F307" s="13"/>
      <c r="I307" s="12"/>
    </row>
    <row r="308" ht="15.75" customHeight="1">
      <c r="A308" s="14"/>
      <c r="D308" s="11"/>
      <c r="E308" s="12"/>
      <c r="F308" s="13"/>
      <c r="I308" s="12"/>
    </row>
    <row r="309" ht="15.75" customHeight="1">
      <c r="A309" s="14"/>
      <c r="D309" s="11"/>
      <c r="E309" s="12"/>
      <c r="F309" s="13"/>
      <c r="I309" s="12"/>
    </row>
    <row r="310" ht="15.75" customHeight="1">
      <c r="A310" s="14"/>
      <c r="D310" s="11"/>
      <c r="E310" s="12"/>
      <c r="F310" s="13"/>
      <c r="I310" s="12"/>
    </row>
    <row r="311" ht="15.75" customHeight="1">
      <c r="A311" s="14"/>
      <c r="D311" s="11"/>
      <c r="E311" s="12"/>
      <c r="F311" s="13"/>
      <c r="I311" s="12"/>
    </row>
    <row r="312" ht="15.75" customHeight="1">
      <c r="A312" s="14"/>
      <c r="D312" s="11"/>
      <c r="E312" s="12"/>
      <c r="F312" s="13"/>
      <c r="I312" s="12"/>
    </row>
    <row r="313" ht="15.75" customHeight="1">
      <c r="A313" s="14"/>
      <c r="D313" s="11"/>
      <c r="E313" s="12"/>
      <c r="F313" s="13"/>
      <c r="I313" s="12"/>
    </row>
    <row r="314" ht="15.75" customHeight="1">
      <c r="A314" s="14"/>
      <c r="D314" s="11"/>
      <c r="E314" s="12"/>
      <c r="F314" s="13"/>
      <c r="I314" s="12"/>
    </row>
    <row r="315" ht="15.75" customHeight="1">
      <c r="A315" s="14"/>
      <c r="D315" s="11"/>
      <c r="E315" s="12"/>
      <c r="F315" s="13"/>
      <c r="I315" s="12"/>
    </row>
    <row r="316" ht="15.75" customHeight="1">
      <c r="A316" s="14"/>
      <c r="D316" s="11"/>
      <c r="E316" s="12"/>
      <c r="F316" s="13"/>
      <c r="I316" s="12"/>
    </row>
    <row r="317" ht="15.75" customHeight="1">
      <c r="A317" s="14"/>
      <c r="D317" s="11"/>
      <c r="E317" s="12"/>
      <c r="F317" s="13"/>
      <c r="I317" s="12"/>
    </row>
    <row r="318" ht="15.75" customHeight="1">
      <c r="A318" s="14"/>
      <c r="D318" s="11"/>
      <c r="E318" s="12"/>
      <c r="F318" s="13"/>
      <c r="I318" s="12"/>
    </row>
    <row r="319" ht="15.75" customHeight="1">
      <c r="A319" s="14"/>
      <c r="D319" s="11"/>
      <c r="E319" s="12"/>
      <c r="F319" s="13"/>
      <c r="I319" s="12"/>
    </row>
    <row r="320" ht="15.75" customHeight="1">
      <c r="A320" s="14"/>
      <c r="D320" s="11"/>
      <c r="E320" s="12"/>
      <c r="F320" s="13"/>
      <c r="I320" s="12"/>
    </row>
    <row r="321" ht="15.75" customHeight="1">
      <c r="A321" s="14"/>
      <c r="D321" s="11"/>
      <c r="E321" s="12"/>
      <c r="F321" s="13"/>
      <c r="I321" s="12"/>
    </row>
    <row r="322" ht="15.75" customHeight="1">
      <c r="A322" s="14"/>
      <c r="D322" s="11"/>
      <c r="E322" s="12"/>
      <c r="F322" s="13"/>
      <c r="I322" s="12"/>
    </row>
    <row r="323" ht="15.75" customHeight="1">
      <c r="A323" s="14"/>
      <c r="D323" s="11"/>
      <c r="E323" s="12"/>
      <c r="F323" s="13"/>
      <c r="I323" s="12"/>
    </row>
    <row r="324" ht="15.75" customHeight="1">
      <c r="A324" s="14"/>
      <c r="D324" s="11"/>
      <c r="E324" s="12"/>
      <c r="F324" s="13"/>
      <c r="I324" s="12"/>
    </row>
    <row r="325" ht="15.75" customHeight="1">
      <c r="A325" s="14"/>
      <c r="D325" s="11"/>
      <c r="E325" s="12"/>
      <c r="F325" s="13"/>
      <c r="I325" s="12"/>
    </row>
    <row r="326" ht="15.75" customHeight="1">
      <c r="A326" s="14"/>
      <c r="D326" s="11"/>
      <c r="E326" s="12"/>
      <c r="F326" s="13"/>
      <c r="I326" s="12"/>
    </row>
    <row r="327" ht="15.75" customHeight="1">
      <c r="A327" s="14"/>
      <c r="D327" s="11"/>
      <c r="E327" s="12"/>
      <c r="F327" s="13"/>
      <c r="I327" s="12"/>
    </row>
    <row r="328" ht="15.75" customHeight="1">
      <c r="A328" s="14"/>
      <c r="D328" s="11"/>
      <c r="E328" s="12"/>
      <c r="F328" s="13"/>
      <c r="I328" s="12"/>
    </row>
    <row r="329" ht="15.75" customHeight="1">
      <c r="A329" s="14"/>
      <c r="D329" s="11"/>
      <c r="E329" s="12"/>
      <c r="F329" s="13"/>
      <c r="I329" s="12"/>
    </row>
    <row r="330" ht="15.75" customHeight="1">
      <c r="A330" s="14"/>
      <c r="D330" s="11"/>
      <c r="E330" s="12"/>
      <c r="F330" s="13"/>
      <c r="I330" s="12"/>
    </row>
    <row r="331" ht="15.75" customHeight="1">
      <c r="A331" s="14"/>
      <c r="D331" s="11"/>
      <c r="E331" s="12"/>
      <c r="F331" s="13"/>
      <c r="I331" s="12"/>
    </row>
    <row r="332" ht="15.75" customHeight="1">
      <c r="A332" s="14"/>
      <c r="D332" s="11"/>
      <c r="E332" s="12"/>
      <c r="F332" s="13"/>
      <c r="I332" s="12"/>
    </row>
    <row r="333" ht="15.75" customHeight="1">
      <c r="A333" s="14"/>
      <c r="D333" s="11"/>
      <c r="E333" s="12"/>
      <c r="F333" s="13"/>
      <c r="I333" s="12"/>
    </row>
    <row r="334" ht="15.75" customHeight="1">
      <c r="A334" s="14"/>
      <c r="D334" s="11"/>
      <c r="E334" s="12"/>
      <c r="F334" s="13"/>
      <c r="I334" s="12"/>
    </row>
    <row r="335" ht="15.75" customHeight="1">
      <c r="A335" s="14"/>
      <c r="D335" s="11"/>
      <c r="E335" s="12"/>
      <c r="F335" s="13"/>
      <c r="I335" s="12"/>
    </row>
    <row r="336" ht="15.75" customHeight="1">
      <c r="A336" s="14"/>
      <c r="D336" s="11"/>
      <c r="E336" s="12"/>
      <c r="F336" s="13"/>
      <c r="I336" s="12"/>
    </row>
    <row r="337" ht="15.75" customHeight="1">
      <c r="A337" s="14"/>
      <c r="D337" s="11"/>
      <c r="E337" s="12"/>
      <c r="F337" s="13"/>
      <c r="I337" s="12"/>
    </row>
    <row r="338" ht="15.75" customHeight="1">
      <c r="A338" s="14"/>
      <c r="D338" s="11"/>
      <c r="E338" s="12"/>
      <c r="F338" s="13"/>
      <c r="I338" s="12"/>
    </row>
    <row r="339" ht="15.75" customHeight="1">
      <c r="A339" s="14"/>
      <c r="D339" s="11"/>
      <c r="E339" s="12"/>
      <c r="F339" s="13"/>
      <c r="I339" s="12"/>
    </row>
    <row r="340" ht="15.75" customHeight="1">
      <c r="A340" s="14"/>
      <c r="D340" s="11"/>
      <c r="E340" s="12"/>
      <c r="F340" s="13"/>
      <c r="I340" s="12"/>
    </row>
    <row r="341" ht="15.75" customHeight="1">
      <c r="A341" s="14"/>
      <c r="D341" s="11"/>
      <c r="E341" s="12"/>
      <c r="F341" s="13"/>
      <c r="I341" s="12"/>
    </row>
    <row r="342" ht="15.75" customHeight="1">
      <c r="A342" s="14"/>
      <c r="D342" s="11"/>
      <c r="E342" s="12"/>
      <c r="F342" s="13"/>
      <c r="I342" s="12"/>
    </row>
    <row r="343" ht="15.75" customHeight="1">
      <c r="A343" s="14"/>
      <c r="D343" s="11"/>
      <c r="E343" s="12"/>
      <c r="F343" s="13"/>
      <c r="I343" s="12"/>
    </row>
    <row r="344" ht="15.75" customHeight="1">
      <c r="A344" s="14"/>
      <c r="D344" s="11"/>
      <c r="E344" s="12"/>
      <c r="F344" s="13"/>
      <c r="I344" s="12"/>
    </row>
    <row r="345" ht="15.75" customHeight="1">
      <c r="A345" s="14"/>
      <c r="D345" s="11"/>
      <c r="E345" s="12"/>
      <c r="F345" s="13"/>
      <c r="I345" s="12"/>
    </row>
    <row r="346" ht="15.75" customHeight="1">
      <c r="A346" s="14"/>
      <c r="D346" s="11"/>
      <c r="E346" s="12"/>
      <c r="F346" s="13"/>
      <c r="I346" s="12"/>
    </row>
    <row r="347" ht="15.75" customHeight="1">
      <c r="A347" s="14"/>
      <c r="D347" s="11"/>
      <c r="E347" s="12"/>
      <c r="F347" s="13"/>
      <c r="I347" s="12"/>
    </row>
    <row r="348" ht="15.75" customHeight="1">
      <c r="A348" s="14"/>
      <c r="D348" s="11"/>
      <c r="E348" s="12"/>
      <c r="F348" s="13"/>
      <c r="I348" s="12"/>
    </row>
    <row r="349" ht="15.75" customHeight="1">
      <c r="A349" s="14"/>
      <c r="D349" s="11"/>
      <c r="E349" s="12"/>
      <c r="F349" s="13"/>
      <c r="I349" s="12"/>
    </row>
    <row r="350" ht="15.75" customHeight="1">
      <c r="A350" s="14"/>
      <c r="D350" s="11"/>
      <c r="E350" s="12"/>
      <c r="F350" s="13"/>
      <c r="I350" s="12"/>
    </row>
    <row r="351" ht="15.75" customHeight="1">
      <c r="A351" s="14"/>
      <c r="D351" s="11"/>
      <c r="E351" s="12"/>
      <c r="F351" s="13"/>
      <c r="I351" s="12"/>
    </row>
    <row r="352" ht="15.75" customHeight="1">
      <c r="A352" s="14"/>
      <c r="D352" s="11"/>
      <c r="E352" s="12"/>
      <c r="F352" s="13"/>
      <c r="I352" s="12"/>
    </row>
    <row r="353" ht="15.75" customHeight="1">
      <c r="A353" s="14"/>
      <c r="D353" s="11"/>
      <c r="E353" s="12"/>
      <c r="F353" s="13"/>
      <c r="I353" s="12"/>
    </row>
    <row r="354" ht="15.75" customHeight="1">
      <c r="A354" s="14"/>
      <c r="D354" s="11"/>
      <c r="E354" s="12"/>
      <c r="F354" s="13"/>
      <c r="I354" s="12"/>
    </row>
    <row r="355" ht="15.75" customHeight="1">
      <c r="A355" s="14"/>
      <c r="D355" s="11"/>
      <c r="E355" s="12"/>
      <c r="F355" s="13"/>
      <c r="I355" s="12"/>
    </row>
    <row r="356" ht="15.75" customHeight="1">
      <c r="A356" s="14"/>
      <c r="D356" s="11"/>
      <c r="E356" s="12"/>
      <c r="F356" s="13"/>
      <c r="I356" s="12"/>
    </row>
    <row r="357" ht="15.75" customHeight="1">
      <c r="A357" s="14"/>
      <c r="D357" s="11"/>
      <c r="E357" s="12"/>
      <c r="F357" s="13"/>
      <c r="I357" s="12"/>
    </row>
    <row r="358" ht="15.75" customHeight="1">
      <c r="A358" s="14"/>
      <c r="D358" s="11"/>
      <c r="E358" s="12"/>
      <c r="F358" s="13"/>
      <c r="I358" s="12"/>
    </row>
    <row r="359" ht="15.75" customHeight="1">
      <c r="A359" s="14"/>
      <c r="D359" s="11"/>
      <c r="E359" s="12"/>
      <c r="F359" s="13"/>
      <c r="I359" s="12"/>
    </row>
    <row r="360" ht="15.75" customHeight="1">
      <c r="A360" s="14"/>
      <c r="D360" s="11"/>
      <c r="E360" s="12"/>
      <c r="F360" s="13"/>
      <c r="I360" s="12"/>
    </row>
    <row r="361" ht="15.75" customHeight="1">
      <c r="A361" s="14"/>
      <c r="D361" s="11"/>
      <c r="E361" s="12"/>
      <c r="F361" s="13"/>
      <c r="I361" s="12"/>
    </row>
    <row r="362" ht="15.75" customHeight="1">
      <c r="A362" s="14"/>
      <c r="D362" s="11"/>
      <c r="E362" s="12"/>
      <c r="F362" s="13"/>
      <c r="I362" s="12"/>
    </row>
    <row r="363" ht="15.75" customHeight="1">
      <c r="A363" s="14"/>
      <c r="D363" s="11"/>
      <c r="E363" s="12"/>
      <c r="F363" s="13"/>
      <c r="I363" s="12"/>
    </row>
    <row r="364" ht="15.75" customHeight="1">
      <c r="A364" s="14"/>
      <c r="D364" s="11"/>
      <c r="E364" s="12"/>
      <c r="F364" s="13"/>
      <c r="I364" s="12"/>
    </row>
    <row r="365" ht="15.75" customHeight="1">
      <c r="A365" s="14"/>
      <c r="D365" s="11"/>
      <c r="E365" s="12"/>
      <c r="F365" s="13"/>
      <c r="I365" s="12"/>
    </row>
    <row r="366" ht="15.75" customHeight="1">
      <c r="A366" s="14"/>
      <c r="D366" s="11"/>
      <c r="E366" s="12"/>
      <c r="F366" s="13"/>
      <c r="I366" s="12"/>
    </row>
    <row r="367" ht="15.75" customHeight="1">
      <c r="A367" s="14"/>
      <c r="D367" s="11"/>
      <c r="E367" s="12"/>
      <c r="F367" s="13"/>
      <c r="I367" s="12"/>
    </row>
    <row r="368" ht="15.75" customHeight="1">
      <c r="A368" s="14"/>
      <c r="D368" s="11"/>
      <c r="E368" s="12"/>
      <c r="F368" s="13"/>
      <c r="I368" s="12"/>
    </row>
    <row r="369" ht="15.75" customHeight="1">
      <c r="A369" s="14"/>
      <c r="D369" s="11"/>
      <c r="E369" s="12"/>
      <c r="F369" s="13"/>
      <c r="I369" s="12"/>
    </row>
    <row r="370" ht="15.75" customHeight="1">
      <c r="A370" s="14"/>
      <c r="D370" s="11"/>
      <c r="E370" s="12"/>
      <c r="F370" s="13"/>
      <c r="I370" s="12"/>
    </row>
    <row r="371" ht="15.75" customHeight="1">
      <c r="A371" s="14"/>
      <c r="D371" s="11"/>
      <c r="E371" s="12"/>
      <c r="F371" s="13"/>
      <c r="I371" s="12"/>
    </row>
    <row r="372" ht="15.75" customHeight="1">
      <c r="A372" s="14"/>
      <c r="D372" s="11"/>
      <c r="E372" s="12"/>
      <c r="F372" s="13"/>
      <c r="I372" s="12"/>
    </row>
    <row r="373" ht="15.75" customHeight="1">
      <c r="A373" s="14"/>
      <c r="D373" s="11"/>
      <c r="E373" s="12"/>
      <c r="F373" s="13"/>
      <c r="I373" s="12"/>
    </row>
    <row r="374" ht="15.75" customHeight="1">
      <c r="A374" s="14"/>
      <c r="D374" s="11"/>
      <c r="E374" s="12"/>
      <c r="F374" s="13"/>
      <c r="I374" s="12"/>
    </row>
    <row r="375" ht="15.75" customHeight="1">
      <c r="A375" s="14"/>
      <c r="D375" s="11"/>
      <c r="E375" s="12"/>
      <c r="F375" s="13"/>
      <c r="I375" s="12"/>
    </row>
    <row r="376" ht="15.75" customHeight="1">
      <c r="A376" s="14"/>
      <c r="D376" s="11"/>
      <c r="E376" s="12"/>
      <c r="F376" s="13"/>
      <c r="I376" s="12"/>
    </row>
    <row r="377" ht="15.75" customHeight="1">
      <c r="A377" s="14"/>
      <c r="D377" s="11"/>
      <c r="E377" s="12"/>
      <c r="F377" s="13"/>
      <c r="I377" s="12"/>
    </row>
    <row r="378" ht="15.75" customHeight="1">
      <c r="A378" s="14"/>
      <c r="D378" s="11"/>
      <c r="E378" s="12"/>
      <c r="F378" s="13"/>
      <c r="I378" s="12"/>
    </row>
    <row r="379" ht="15.75" customHeight="1">
      <c r="A379" s="14"/>
      <c r="D379" s="11"/>
      <c r="E379" s="12"/>
      <c r="F379" s="13"/>
      <c r="I379" s="12"/>
    </row>
    <row r="380" ht="15.75" customHeight="1">
      <c r="A380" s="14"/>
      <c r="D380" s="11"/>
      <c r="E380" s="12"/>
      <c r="F380" s="13"/>
      <c r="I380" s="12"/>
    </row>
    <row r="381" ht="15.75" customHeight="1">
      <c r="A381" s="14"/>
      <c r="D381" s="11"/>
      <c r="E381" s="12"/>
      <c r="F381" s="13"/>
      <c r="I381" s="12"/>
    </row>
    <row r="382" ht="15.75" customHeight="1">
      <c r="A382" s="14"/>
      <c r="D382" s="11"/>
      <c r="E382" s="12"/>
      <c r="F382" s="13"/>
      <c r="I382" s="12"/>
    </row>
    <row r="383" ht="15.75" customHeight="1">
      <c r="A383" s="14"/>
      <c r="D383" s="11"/>
      <c r="E383" s="12"/>
      <c r="F383" s="13"/>
      <c r="I383" s="12"/>
    </row>
    <row r="384" ht="15.75" customHeight="1">
      <c r="A384" s="14"/>
      <c r="D384" s="11"/>
      <c r="E384" s="12"/>
      <c r="F384" s="13"/>
      <c r="I384" s="12"/>
    </row>
    <row r="385" ht="15.75" customHeight="1">
      <c r="A385" s="14"/>
      <c r="D385" s="11"/>
      <c r="E385" s="12"/>
      <c r="F385" s="13"/>
      <c r="I385" s="12"/>
    </row>
    <row r="386" ht="15.75" customHeight="1">
      <c r="A386" s="14"/>
      <c r="D386" s="11"/>
      <c r="E386" s="12"/>
      <c r="F386" s="13"/>
      <c r="I386" s="12"/>
    </row>
    <row r="387" ht="15.75" customHeight="1">
      <c r="A387" s="14"/>
      <c r="D387" s="11"/>
      <c r="E387" s="12"/>
      <c r="F387" s="13"/>
      <c r="I387" s="12"/>
    </row>
    <row r="388" ht="15.75" customHeight="1">
      <c r="A388" s="14"/>
      <c r="D388" s="11"/>
      <c r="E388" s="12"/>
      <c r="F388" s="13"/>
      <c r="I388" s="12"/>
    </row>
    <row r="389" ht="15.75" customHeight="1">
      <c r="A389" s="14"/>
      <c r="D389" s="11"/>
      <c r="E389" s="12"/>
      <c r="F389" s="13"/>
      <c r="I389" s="12"/>
    </row>
    <row r="390" ht="15.75" customHeight="1">
      <c r="A390" s="14"/>
      <c r="D390" s="11"/>
      <c r="E390" s="12"/>
      <c r="F390" s="13"/>
      <c r="I390" s="12"/>
    </row>
    <row r="391" ht="15.75" customHeight="1">
      <c r="A391" s="14"/>
      <c r="D391" s="11"/>
      <c r="E391" s="12"/>
      <c r="F391" s="13"/>
      <c r="I391" s="12"/>
    </row>
    <row r="392" ht="15.75" customHeight="1">
      <c r="A392" s="14"/>
      <c r="D392" s="11"/>
      <c r="E392" s="12"/>
      <c r="F392" s="13"/>
      <c r="I392" s="12"/>
    </row>
    <row r="393" ht="15.75" customHeight="1">
      <c r="A393" s="14"/>
      <c r="D393" s="11"/>
      <c r="E393" s="12"/>
      <c r="F393" s="13"/>
      <c r="I393" s="12"/>
    </row>
    <row r="394" ht="15.75" customHeight="1">
      <c r="A394" s="14"/>
      <c r="D394" s="11"/>
      <c r="E394" s="12"/>
      <c r="F394" s="13"/>
      <c r="I394" s="12"/>
    </row>
    <row r="395" ht="15.75" customHeight="1">
      <c r="A395" s="14"/>
      <c r="D395" s="11"/>
      <c r="E395" s="12"/>
      <c r="F395" s="13"/>
      <c r="I395" s="12"/>
    </row>
    <row r="396" ht="15.75" customHeight="1">
      <c r="A396" s="14"/>
      <c r="D396" s="11"/>
      <c r="E396" s="12"/>
      <c r="F396" s="13"/>
      <c r="I396" s="12"/>
    </row>
    <row r="397" ht="15.75" customHeight="1">
      <c r="A397" s="14"/>
      <c r="D397" s="11"/>
      <c r="E397" s="12"/>
      <c r="F397" s="13"/>
      <c r="I397" s="12"/>
    </row>
    <row r="398" ht="15.75" customHeight="1">
      <c r="A398" s="14"/>
      <c r="D398" s="11"/>
      <c r="E398" s="12"/>
      <c r="F398" s="13"/>
      <c r="I398" s="12"/>
    </row>
    <row r="399" ht="15.75" customHeight="1">
      <c r="A399" s="14"/>
      <c r="D399" s="11"/>
      <c r="E399" s="12"/>
      <c r="F399" s="13"/>
      <c r="I399" s="12"/>
    </row>
    <row r="400" ht="15.75" customHeight="1">
      <c r="A400" s="14"/>
      <c r="D400" s="11"/>
      <c r="E400" s="12"/>
      <c r="F400" s="13"/>
      <c r="I400" s="12"/>
    </row>
    <row r="401" ht="15.75" customHeight="1">
      <c r="A401" s="14"/>
      <c r="D401" s="11"/>
      <c r="E401" s="12"/>
      <c r="F401" s="13"/>
      <c r="I401" s="12"/>
    </row>
    <row r="402" ht="15.75" customHeight="1">
      <c r="A402" s="14"/>
      <c r="D402" s="11"/>
      <c r="E402" s="12"/>
      <c r="F402" s="13"/>
      <c r="I402" s="12"/>
    </row>
    <row r="403" ht="15.75" customHeight="1">
      <c r="A403" s="14"/>
      <c r="D403" s="11"/>
      <c r="E403" s="12"/>
      <c r="F403" s="13"/>
      <c r="I403" s="12"/>
    </row>
    <row r="404" ht="15.75" customHeight="1">
      <c r="A404" s="14"/>
      <c r="D404" s="11"/>
      <c r="E404" s="12"/>
      <c r="F404" s="13"/>
      <c r="I404" s="12"/>
    </row>
    <row r="405" ht="15.75" customHeight="1">
      <c r="A405" s="14"/>
      <c r="D405" s="11"/>
      <c r="E405" s="12"/>
      <c r="F405" s="13"/>
      <c r="I405" s="12"/>
    </row>
    <row r="406" ht="15.75" customHeight="1">
      <c r="A406" s="14"/>
      <c r="D406" s="11"/>
      <c r="E406" s="12"/>
      <c r="F406" s="13"/>
      <c r="I406" s="12"/>
    </row>
    <row r="407" ht="15.75" customHeight="1">
      <c r="A407" s="14"/>
      <c r="D407" s="11"/>
      <c r="E407" s="12"/>
      <c r="F407" s="13"/>
      <c r="I407" s="12"/>
    </row>
    <row r="408" ht="15.75" customHeight="1">
      <c r="A408" s="14"/>
      <c r="D408" s="11"/>
      <c r="E408" s="12"/>
      <c r="F408" s="13"/>
      <c r="I408" s="12"/>
    </row>
    <row r="409" ht="15.75" customHeight="1">
      <c r="A409" s="14"/>
      <c r="D409" s="11"/>
      <c r="E409" s="12"/>
      <c r="F409" s="13"/>
      <c r="I409" s="12"/>
    </row>
    <row r="410" ht="15.75" customHeight="1">
      <c r="A410" s="14"/>
      <c r="D410" s="11"/>
      <c r="E410" s="12"/>
      <c r="F410" s="13"/>
      <c r="I410" s="12"/>
    </row>
    <row r="411" ht="15.75" customHeight="1">
      <c r="A411" s="14"/>
      <c r="D411" s="11"/>
      <c r="E411" s="12"/>
      <c r="F411" s="13"/>
      <c r="I411" s="12"/>
    </row>
    <row r="412" ht="15.75" customHeight="1">
      <c r="A412" s="14"/>
      <c r="D412" s="11"/>
      <c r="E412" s="12"/>
      <c r="F412" s="13"/>
      <c r="I412" s="12"/>
    </row>
    <row r="413" ht="15.75" customHeight="1">
      <c r="A413" s="14"/>
      <c r="D413" s="11"/>
      <c r="E413" s="12"/>
      <c r="F413" s="13"/>
      <c r="I413" s="12"/>
    </row>
    <row r="414" ht="15.75" customHeight="1">
      <c r="A414" s="14"/>
      <c r="D414" s="11"/>
      <c r="E414" s="12"/>
      <c r="F414" s="13"/>
      <c r="I414" s="12"/>
    </row>
    <row r="415" ht="15.75" customHeight="1">
      <c r="A415" s="14"/>
      <c r="D415" s="11"/>
      <c r="E415" s="12"/>
      <c r="F415" s="13"/>
      <c r="I415" s="12"/>
    </row>
    <row r="416" ht="15.75" customHeight="1">
      <c r="A416" s="14"/>
      <c r="D416" s="11"/>
      <c r="E416" s="12"/>
      <c r="F416" s="13"/>
      <c r="I416" s="12"/>
    </row>
    <row r="417" ht="15.75" customHeight="1">
      <c r="A417" s="14"/>
      <c r="D417" s="11"/>
      <c r="E417" s="12"/>
      <c r="F417" s="13"/>
      <c r="I417" s="12"/>
    </row>
    <row r="418" ht="15.75" customHeight="1">
      <c r="A418" s="14"/>
      <c r="D418" s="11"/>
      <c r="E418" s="12"/>
      <c r="F418" s="13"/>
      <c r="I418" s="12"/>
    </row>
    <row r="419" ht="15.75" customHeight="1">
      <c r="A419" s="14"/>
      <c r="D419" s="11"/>
      <c r="E419" s="12"/>
      <c r="F419" s="13"/>
      <c r="I419" s="12"/>
    </row>
    <row r="420" ht="15.75" customHeight="1">
      <c r="A420" s="14"/>
      <c r="D420" s="11"/>
      <c r="E420" s="12"/>
      <c r="F420" s="13"/>
      <c r="I420" s="12"/>
    </row>
    <row r="421" ht="15.75" customHeight="1">
      <c r="A421" s="14"/>
      <c r="D421" s="11"/>
      <c r="E421" s="12"/>
      <c r="F421" s="13"/>
      <c r="I421" s="12"/>
    </row>
    <row r="422" ht="15.75" customHeight="1">
      <c r="A422" s="14"/>
      <c r="D422" s="11"/>
      <c r="E422" s="12"/>
      <c r="F422" s="13"/>
      <c r="I422" s="12"/>
    </row>
    <row r="423" ht="15.75" customHeight="1">
      <c r="A423" s="14"/>
      <c r="D423" s="11"/>
      <c r="E423" s="12"/>
      <c r="F423" s="13"/>
      <c r="I423" s="12"/>
    </row>
    <row r="424" ht="15.75" customHeight="1">
      <c r="A424" s="14"/>
      <c r="D424" s="11"/>
      <c r="E424" s="12"/>
      <c r="F424" s="13"/>
      <c r="I424" s="12"/>
    </row>
    <row r="425" ht="15.75" customHeight="1">
      <c r="A425" s="14"/>
      <c r="D425" s="11"/>
      <c r="E425" s="12"/>
      <c r="F425" s="13"/>
      <c r="I425" s="12"/>
    </row>
    <row r="426" ht="15.75" customHeight="1">
      <c r="A426" s="14"/>
      <c r="D426" s="11"/>
      <c r="E426" s="12"/>
      <c r="F426" s="13"/>
      <c r="I426" s="12"/>
    </row>
    <row r="427" ht="15.75" customHeight="1">
      <c r="A427" s="14"/>
      <c r="D427" s="11"/>
      <c r="E427" s="12"/>
      <c r="F427" s="13"/>
      <c r="I427" s="12"/>
    </row>
    <row r="428" ht="15.75" customHeight="1">
      <c r="A428" s="14"/>
      <c r="D428" s="11"/>
      <c r="E428" s="12"/>
      <c r="F428" s="13"/>
      <c r="I428" s="12"/>
    </row>
    <row r="429" ht="15.75" customHeight="1">
      <c r="A429" s="14"/>
      <c r="D429" s="11"/>
      <c r="E429" s="12"/>
      <c r="F429" s="13"/>
      <c r="I429" s="12"/>
    </row>
    <row r="430" ht="15.75" customHeight="1">
      <c r="A430" s="14"/>
      <c r="D430" s="11"/>
      <c r="E430" s="12"/>
      <c r="F430" s="13"/>
      <c r="I430" s="12"/>
    </row>
    <row r="431" ht="15.75" customHeight="1">
      <c r="A431" s="14"/>
      <c r="D431" s="11"/>
      <c r="E431" s="12"/>
      <c r="F431" s="13"/>
      <c r="I431" s="12"/>
    </row>
    <row r="432" ht="15.75" customHeight="1">
      <c r="A432" s="14"/>
      <c r="D432" s="11"/>
      <c r="E432" s="12"/>
      <c r="F432" s="13"/>
      <c r="I432" s="12"/>
    </row>
    <row r="433" ht="15.75" customHeight="1">
      <c r="A433" s="14"/>
      <c r="D433" s="11"/>
      <c r="E433" s="12"/>
      <c r="F433" s="13"/>
      <c r="I433" s="12"/>
    </row>
    <row r="434" ht="15.75" customHeight="1">
      <c r="A434" s="14"/>
      <c r="D434" s="11"/>
      <c r="E434" s="12"/>
      <c r="F434" s="13"/>
      <c r="I434" s="12"/>
    </row>
    <row r="435" ht="15.75" customHeight="1">
      <c r="A435" s="14"/>
      <c r="D435" s="11"/>
      <c r="E435" s="12"/>
      <c r="F435" s="13"/>
      <c r="I435" s="12"/>
    </row>
    <row r="436" ht="15.75" customHeight="1">
      <c r="A436" s="14"/>
      <c r="D436" s="11"/>
      <c r="E436" s="12"/>
      <c r="F436" s="13"/>
      <c r="I436" s="12"/>
    </row>
    <row r="437" ht="15.75" customHeight="1">
      <c r="A437" s="14"/>
      <c r="D437" s="11"/>
      <c r="E437" s="12"/>
      <c r="F437" s="13"/>
      <c r="I437" s="12"/>
    </row>
    <row r="438" ht="15.75" customHeight="1">
      <c r="A438" s="14"/>
      <c r="D438" s="11"/>
      <c r="E438" s="12"/>
      <c r="F438" s="13"/>
      <c r="I438" s="12"/>
    </row>
    <row r="439" ht="15.75" customHeight="1">
      <c r="A439" s="14"/>
      <c r="D439" s="11"/>
      <c r="E439" s="12"/>
      <c r="F439" s="13"/>
      <c r="I439" s="12"/>
    </row>
    <row r="440" ht="15.75" customHeight="1">
      <c r="A440" s="14"/>
      <c r="D440" s="11"/>
      <c r="E440" s="12"/>
      <c r="F440" s="13"/>
      <c r="I440" s="12"/>
    </row>
    <row r="441" ht="15.75" customHeight="1">
      <c r="A441" s="14"/>
      <c r="D441" s="11"/>
      <c r="E441" s="12"/>
      <c r="F441" s="13"/>
      <c r="I441" s="12"/>
    </row>
    <row r="442" ht="15.75" customHeight="1">
      <c r="A442" s="14"/>
      <c r="D442" s="11"/>
      <c r="E442" s="12"/>
      <c r="F442" s="13"/>
      <c r="I442" s="12"/>
    </row>
    <row r="443" ht="15.75" customHeight="1">
      <c r="A443" s="14"/>
      <c r="D443" s="11"/>
      <c r="E443" s="12"/>
      <c r="F443" s="13"/>
      <c r="I443" s="12"/>
    </row>
    <row r="444" ht="15.75" customHeight="1">
      <c r="A444" s="14"/>
      <c r="D444" s="11"/>
      <c r="E444" s="12"/>
      <c r="F444" s="13"/>
      <c r="I444" s="12"/>
    </row>
    <row r="445" ht="15.75" customHeight="1">
      <c r="A445" s="14"/>
      <c r="D445" s="11"/>
      <c r="E445" s="12"/>
      <c r="F445" s="13"/>
      <c r="I445" s="12"/>
    </row>
    <row r="446" ht="15.75" customHeight="1">
      <c r="A446" s="14"/>
      <c r="D446" s="11"/>
      <c r="E446" s="12"/>
      <c r="F446" s="13"/>
      <c r="I446" s="12"/>
    </row>
    <row r="447" ht="15.75" customHeight="1">
      <c r="A447" s="14"/>
      <c r="D447" s="11"/>
      <c r="E447" s="12"/>
      <c r="F447" s="13"/>
      <c r="I447" s="12"/>
    </row>
    <row r="448" ht="15.75" customHeight="1">
      <c r="A448" s="14"/>
      <c r="D448" s="11"/>
      <c r="E448" s="12"/>
      <c r="F448" s="13"/>
      <c r="I448" s="12"/>
    </row>
    <row r="449" ht="15.75" customHeight="1">
      <c r="A449" s="14"/>
      <c r="D449" s="11"/>
      <c r="E449" s="12"/>
      <c r="F449" s="13"/>
      <c r="I449" s="12"/>
    </row>
    <row r="450" ht="15.75" customHeight="1">
      <c r="A450" s="14"/>
      <c r="D450" s="11"/>
      <c r="E450" s="12"/>
      <c r="F450" s="13"/>
      <c r="I450" s="12"/>
    </row>
    <row r="451" ht="15.75" customHeight="1">
      <c r="A451" s="14"/>
      <c r="D451" s="11"/>
      <c r="E451" s="12"/>
      <c r="F451" s="13"/>
      <c r="I451" s="12"/>
    </row>
    <row r="452" ht="15.75" customHeight="1">
      <c r="A452" s="14"/>
      <c r="D452" s="11"/>
      <c r="E452" s="12"/>
      <c r="F452" s="13"/>
      <c r="I452" s="12"/>
    </row>
    <row r="453" ht="15.75" customHeight="1">
      <c r="A453" s="14"/>
      <c r="D453" s="11"/>
      <c r="E453" s="12"/>
      <c r="F453" s="13"/>
      <c r="I453" s="12"/>
    </row>
    <row r="454" ht="15.75" customHeight="1">
      <c r="A454" s="14"/>
      <c r="D454" s="11"/>
      <c r="E454" s="12"/>
      <c r="F454" s="13"/>
      <c r="I454" s="12"/>
    </row>
    <row r="455" ht="15.75" customHeight="1">
      <c r="A455" s="14"/>
      <c r="D455" s="11"/>
      <c r="E455" s="12"/>
      <c r="F455" s="13"/>
      <c r="I455" s="12"/>
    </row>
    <row r="456" ht="15.75" customHeight="1">
      <c r="A456" s="14"/>
      <c r="D456" s="11"/>
      <c r="E456" s="12"/>
      <c r="F456" s="13"/>
      <c r="I456" s="12"/>
    </row>
    <row r="457" ht="15.75" customHeight="1">
      <c r="A457" s="14"/>
      <c r="D457" s="11"/>
      <c r="E457" s="12"/>
      <c r="F457" s="13"/>
      <c r="I457" s="12"/>
    </row>
    <row r="458" ht="15.75" customHeight="1">
      <c r="A458" s="14"/>
      <c r="D458" s="11"/>
      <c r="E458" s="12"/>
      <c r="F458" s="13"/>
      <c r="I458" s="12"/>
    </row>
    <row r="459" ht="15.75" customHeight="1">
      <c r="A459" s="14"/>
      <c r="D459" s="11"/>
      <c r="E459" s="12"/>
      <c r="F459" s="13"/>
      <c r="I459" s="12"/>
    </row>
    <row r="460" ht="15.75" customHeight="1">
      <c r="A460" s="14"/>
      <c r="D460" s="11"/>
      <c r="E460" s="12"/>
      <c r="F460" s="13"/>
      <c r="I460" s="12"/>
    </row>
    <row r="461" ht="15.75" customHeight="1">
      <c r="A461" s="14"/>
      <c r="D461" s="11"/>
      <c r="E461" s="12"/>
      <c r="F461" s="13"/>
      <c r="I461" s="12"/>
    </row>
    <row r="462" ht="15.75" customHeight="1">
      <c r="A462" s="14"/>
      <c r="D462" s="11"/>
      <c r="E462" s="12"/>
      <c r="F462" s="13"/>
      <c r="I462" s="12"/>
    </row>
    <row r="463" ht="15.75" customHeight="1">
      <c r="A463" s="14"/>
      <c r="D463" s="11"/>
      <c r="E463" s="12"/>
      <c r="F463" s="13"/>
      <c r="I463" s="12"/>
    </row>
    <row r="464" ht="15.75" customHeight="1">
      <c r="A464" s="14"/>
      <c r="D464" s="11"/>
      <c r="E464" s="12"/>
      <c r="F464" s="13"/>
      <c r="I464" s="12"/>
    </row>
    <row r="465" ht="15.75" customHeight="1">
      <c r="A465" s="14"/>
      <c r="D465" s="11"/>
      <c r="E465" s="12"/>
      <c r="F465" s="13"/>
      <c r="I465" s="12"/>
    </row>
    <row r="466" ht="15.75" customHeight="1">
      <c r="A466" s="14"/>
      <c r="D466" s="11"/>
      <c r="E466" s="12"/>
      <c r="F466" s="13"/>
      <c r="I466" s="12"/>
    </row>
    <row r="467" ht="15.75" customHeight="1">
      <c r="A467" s="14"/>
      <c r="D467" s="11"/>
      <c r="E467" s="12"/>
      <c r="F467" s="13"/>
      <c r="I467" s="12"/>
    </row>
    <row r="468" ht="15.75" customHeight="1">
      <c r="A468" s="14"/>
      <c r="D468" s="11"/>
      <c r="E468" s="12"/>
      <c r="F468" s="13"/>
      <c r="I468" s="12"/>
    </row>
    <row r="469" ht="15.75" customHeight="1">
      <c r="A469" s="14"/>
      <c r="D469" s="11"/>
      <c r="E469" s="12"/>
      <c r="F469" s="13"/>
      <c r="I469" s="12"/>
    </row>
    <row r="470" ht="15.75" customHeight="1">
      <c r="A470" s="14"/>
      <c r="D470" s="11"/>
      <c r="E470" s="12"/>
      <c r="F470" s="13"/>
      <c r="I470" s="12"/>
    </row>
    <row r="471" ht="15.75" customHeight="1">
      <c r="A471" s="14"/>
      <c r="D471" s="11"/>
      <c r="E471" s="12"/>
      <c r="F471" s="13"/>
      <c r="I471" s="12"/>
    </row>
    <row r="472" ht="15.75" customHeight="1">
      <c r="A472" s="14"/>
      <c r="D472" s="11"/>
      <c r="E472" s="12"/>
      <c r="F472" s="13"/>
      <c r="I472" s="12"/>
    </row>
    <row r="473" ht="15.75" customHeight="1">
      <c r="A473" s="14"/>
      <c r="D473" s="11"/>
      <c r="E473" s="12"/>
      <c r="F473" s="13"/>
      <c r="I473" s="12"/>
    </row>
    <row r="474" ht="15.75" customHeight="1">
      <c r="A474" s="14"/>
      <c r="D474" s="11"/>
      <c r="E474" s="12"/>
      <c r="F474" s="13"/>
      <c r="I474" s="12"/>
    </row>
    <row r="475" ht="15.75" customHeight="1">
      <c r="A475" s="14"/>
      <c r="D475" s="11"/>
      <c r="E475" s="12"/>
      <c r="F475" s="13"/>
      <c r="I475" s="12"/>
    </row>
    <row r="476" ht="15.75" customHeight="1">
      <c r="A476" s="14"/>
      <c r="D476" s="11"/>
      <c r="E476" s="12"/>
      <c r="F476" s="13"/>
      <c r="I476" s="12"/>
    </row>
    <row r="477" ht="15.75" customHeight="1">
      <c r="A477" s="14"/>
      <c r="D477" s="11"/>
      <c r="E477" s="12"/>
      <c r="F477" s="13"/>
      <c r="I477" s="12"/>
    </row>
    <row r="478" ht="15.75" customHeight="1">
      <c r="A478" s="14"/>
      <c r="D478" s="11"/>
      <c r="E478" s="12"/>
      <c r="F478" s="13"/>
      <c r="I478" s="12"/>
    </row>
    <row r="479" ht="15.75" customHeight="1">
      <c r="A479" s="14"/>
      <c r="D479" s="11"/>
      <c r="E479" s="12"/>
      <c r="F479" s="13"/>
      <c r="I479" s="12"/>
    </row>
    <row r="480" ht="15.75" customHeight="1">
      <c r="A480" s="14"/>
      <c r="D480" s="11"/>
      <c r="E480" s="12"/>
      <c r="F480" s="13"/>
      <c r="I480" s="12"/>
    </row>
    <row r="481" ht="15.75" customHeight="1">
      <c r="A481" s="14"/>
      <c r="D481" s="11"/>
      <c r="E481" s="12"/>
      <c r="F481" s="13"/>
      <c r="I481" s="12"/>
    </row>
    <row r="482" ht="15.75" customHeight="1">
      <c r="A482" s="14"/>
      <c r="D482" s="11"/>
      <c r="E482" s="12"/>
      <c r="F482" s="13"/>
      <c r="I482" s="12"/>
    </row>
    <row r="483" ht="15.75" customHeight="1">
      <c r="A483" s="14"/>
      <c r="D483" s="11"/>
      <c r="E483" s="12"/>
      <c r="F483" s="13"/>
      <c r="I483" s="12"/>
    </row>
    <row r="484" ht="15.75" customHeight="1">
      <c r="A484" s="14"/>
      <c r="D484" s="11"/>
      <c r="E484" s="12"/>
      <c r="F484" s="13"/>
      <c r="I484" s="12"/>
    </row>
    <row r="485" ht="15.75" customHeight="1">
      <c r="A485" s="14"/>
      <c r="D485" s="11"/>
      <c r="E485" s="12"/>
      <c r="F485" s="13"/>
      <c r="I485" s="12"/>
    </row>
    <row r="486" ht="15.75" customHeight="1">
      <c r="A486" s="14"/>
      <c r="D486" s="11"/>
      <c r="E486" s="12"/>
      <c r="F486" s="13"/>
      <c r="I486" s="12"/>
    </row>
    <row r="487" ht="15.75" customHeight="1">
      <c r="A487" s="14"/>
      <c r="D487" s="11"/>
      <c r="E487" s="12"/>
      <c r="F487" s="13"/>
      <c r="I487" s="12"/>
    </row>
    <row r="488" ht="15.75" customHeight="1">
      <c r="A488" s="14"/>
      <c r="D488" s="11"/>
      <c r="E488" s="12"/>
      <c r="F488" s="13"/>
      <c r="I488" s="12"/>
    </row>
    <row r="489" ht="15.75" customHeight="1">
      <c r="A489" s="14"/>
      <c r="D489" s="11"/>
      <c r="E489" s="12"/>
      <c r="F489" s="13"/>
      <c r="I489" s="12"/>
    </row>
    <row r="490" ht="15.75" customHeight="1">
      <c r="A490" s="14"/>
      <c r="D490" s="11"/>
      <c r="E490" s="12"/>
      <c r="F490" s="13"/>
      <c r="I490" s="12"/>
    </row>
    <row r="491" ht="15.75" customHeight="1">
      <c r="A491" s="14"/>
      <c r="D491" s="11"/>
      <c r="E491" s="12"/>
      <c r="F491" s="13"/>
      <c r="I491" s="12"/>
    </row>
    <row r="492" ht="15.75" customHeight="1">
      <c r="A492" s="14"/>
      <c r="D492" s="11"/>
      <c r="E492" s="12"/>
      <c r="F492" s="13"/>
      <c r="I492" s="12"/>
    </row>
    <row r="493" ht="15.75" customHeight="1">
      <c r="A493" s="14"/>
      <c r="D493" s="11"/>
      <c r="E493" s="12"/>
      <c r="F493" s="13"/>
      <c r="I493" s="12"/>
    </row>
    <row r="494" ht="15.75" customHeight="1">
      <c r="A494" s="14"/>
      <c r="D494" s="11"/>
      <c r="E494" s="12"/>
      <c r="F494" s="13"/>
      <c r="I494" s="12"/>
    </row>
    <row r="495" ht="15.75" customHeight="1">
      <c r="A495" s="14"/>
      <c r="D495" s="11"/>
      <c r="E495" s="12"/>
      <c r="F495" s="13"/>
      <c r="I495" s="12"/>
    </row>
    <row r="496" ht="15.75" customHeight="1">
      <c r="A496" s="14"/>
      <c r="D496" s="11"/>
      <c r="E496" s="12"/>
      <c r="F496" s="13"/>
      <c r="I496" s="12"/>
    </row>
    <row r="497" ht="15.75" customHeight="1">
      <c r="A497" s="14"/>
      <c r="D497" s="11"/>
      <c r="E497" s="12"/>
      <c r="F497" s="13"/>
      <c r="I497" s="12"/>
    </row>
    <row r="498" ht="15.75" customHeight="1">
      <c r="A498" s="14"/>
      <c r="D498" s="11"/>
      <c r="E498" s="12"/>
      <c r="F498" s="13"/>
      <c r="I498" s="12"/>
    </row>
    <row r="499" ht="15.75" customHeight="1">
      <c r="A499" s="14"/>
      <c r="D499" s="11"/>
      <c r="E499" s="12"/>
      <c r="F499" s="13"/>
      <c r="I499" s="12"/>
    </row>
    <row r="500" ht="15.75" customHeight="1">
      <c r="A500" s="14"/>
      <c r="D500" s="11"/>
      <c r="E500" s="12"/>
      <c r="F500" s="13"/>
      <c r="I500" s="12"/>
    </row>
    <row r="501" ht="15.75" customHeight="1">
      <c r="A501" s="14"/>
      <c r="D501" s="11"/>
      <c r="E501" s="12"/>
      <c r="F501" s="13"/>
      <c r="I501" s="12"/>
    </row>
    <row r="502" ht="15.75" customHeight="1">
      <c r="A502" s="14"/>
      <c r="D502" s="11"/>
      <c r="E502" s="12"/>
      <c r="F502" s="13"/>
      <c r="I502" s="12"/>
    </row>
    <row r="503" ht="15.75" customHeight="1">
      <c r="A503" s="14"/>
      <c r="D503" s="11"/>
      <c r="E503" s="12"/>
      <c r="F503" s="13"/>
      <c r="I503" s="12"/>
    </row>
    <row r="504" ht="15.75" customHeight="1">
      <c r="A504" s="14"/>
      <c r="D504" s="11"/>
      <c r="E504" s="12"/>
      <c r="F504" s="13"/>
      <c r="I504" s="12"/>
    </row>
    <row r="505" ht="15.75" customHeight="1">
      <c r="A505" s="14"/>
      <c r="D505" s="11"/>
      <c r="E505" s="12"/>
      <c r="F505" s="13"/>
      <c r="I505" s="12"/>
    </row>
    <row r="506" ht="15.75" customHeight="1">
      <c r="A506" s="14"/>
      <c r="D506" s="11"/>
      <c r="E506" s="12"/>
      <c r="F506" s="13"/>
      <c r="I506" s="12"/>
    </row>
    <row r="507" ht="15.75" customHeight="1">
      <c r="A507" s="14"/>
      <c r="D507" s="11"/>
      <c r="E507" s="12"/>
      <c r="F507" s="13"/>
      <c r="I507" s="12"/>
    </row>
    <row r="508" ht="15.75" customHeight="1">
      <c r="A508" s="14"/>
      <c r="D508" s="11"/>
      <c r="E508" s="12"/>
      <c r="F508" s="13"/>
      <c r="I508" s="12"/>
    </row>
    <row r="509" ht="15.75" customHeight="1">
      <c r="A509" s="14"/>
      <c r="D509" s="11"/>
      <c r="E509" s="12"/>
      <c r="F509" s="13"/>
      <c r="I509" s="12"/>
    </row>
    <row r="510" ht="15.75" customHeight="1">
      <c r="A510" s="14"/>
      <c r="D510" s="11"/>
      <c r="E510" s="12"/>
      <c r="F510" s="13"/>
      <c r="I510" s="12"/>
    </row>
    <row r="511" ht="15.75" customHeight="1">
      <c r="A511" s="14"/>
      <c r="D511" s="11"/>
      <c r="E511" s="12"/>
      <c r="F511" s="13"/>
      <c r="I511" s="12"/>
    </row>
    <row r="512" ht="15.75" customHeight="1">
      <c r="A512" s="14"/>
      <c r="D512" s="11"/>
      <c r="E512" s="12"/>
      <c r="F512" s="13"/>
      <c r="I512" s="12"/>
    </row>
    <row r="513" ht="15.75" customHeight="1">
      <c r="A513" s="14"/>
      <c r="D513" s="11"/>
      <c r="E513" s="12"/>
      <c r="F513" s="13"/>
      <c r="I513" s="12"/>
    </row>
    <row r="514" ht="15.75" customHeight="1">
      <c r="A514" s="14"/>
      <c r="D514" s="11"/>
      <c r="E514" s="12"/>
      <c r="F514" s="13"/>
      <c r="I514" s="12"/>
    </row>
    <row r="515" ht="15.75" customHeight="1">
      <c r="A515" s="14"/>
      <c r="D515" s="11"/>
      <c r="E515" s="12"/>
      <c r="F515" s="13"/>
      <c r="I515" s="12"/>
    </row>
    <row r="516" ht="15.75" customHeight="1">
      <c r="A516" s="14"/>
      <c r="D516" s="11"/>
      <c r="E516" s="12"/>
      <c r="F516" s="13"/>
      <c r="I516" s="12"/>
    </row>
    <row r="517" ht="15.75" customHeight="1">
      <c r="A517" s="14"/>
      <c r="D517" s="11"/>
      <c r="E517" s="12"/>
      <c r="F517" s="13"/>
      <c r="I517" s="12"/>
    </row>
    <row r="518" ht="15.75" customHeight="1">
      <c r="A518" s="14"/>
      <c r="D518" s="11"/>
      <c r="E518" s="12"/>
      <c r="F518" s="13"/>
      <c r="I518" s="12"/>
    </row>
    <row r="519" ht="15.75" customHeight="1">
      <c r="A519" s="14"/>
      <c r="D519" s="11"/>
      <c r="E519" s="12"/>
      <c r="F519" s="13"/>
      <c r="I519" s="12"/>
    </row>
    <row r="520" ht="15.75" customHeight="1">
      <c r="A520" s="14"/>
      <c r="D520" s="11"/>
      <c r="E520" s="12"/>
      <c r="F520" s="13"/>
      <c r="I520" s="12"/>
    </row>
    <row r="521" ht="15.75" customHeight="1">
      <c r="A521" s="14"/>
      <c r="D521" s="11"/>
      <c r="E521" s="12"/>
      <c r="F521" s="13"/>
      <c r="I521" s="12"/>
    </row>
    <row r="522" ht="15.75" customHeight="1">
      <c r="A522" s="14"/>
      <c r="D522" s="11"/>
      <c r="E522" s="12"/>
      <c r="F522" s="13"/>
      <c r="I522" s="12"/>
    </row>
    <row r="523" ht="15.75" customHeight="1">
      <c r="A523" s="14"/>
      <c r="D523" s="11"/>
      <c r="E523" s="12"/>
      <c r="F523" s="13"/>
      <c r="I523" s="12"/>
    </row>
    <row r="524" ht="15.75" customHeight="1">
      <c r="A524" s="14"/>
      <c r="D524" s="11"/>
      <c r="E524" s="12"/>
      <c r="F524" s="13"/>
      <c r="I524" s="12"/>
    </row>
    <row r="525" ht="15.75" customHeight="1">
      <c r="A525" s="14"/>
      <c r="D525" s="11"/>
      <c r="E525" s="12"/>
      <c r="F525" s="13"/>
      <c r="I525" s="12"/>
    </row>
    <row r="526" ht="15.75" customHeight="1">
      <c r="A526" s="14"/>
      <c r="D526" s="11"/>
      <c r="E526" s="12"/>
      <c r="F526" s="13"/>
      <c r="I526" s="12"/>
    </row>
    <row r="527" ht="15.75" customHeight="1">
      <c r="A527" s="14"/>
      <c r="D527" s="11"/>
      <c r="E527" s="12"/>
      <c r="F527" s="13"/>
      <c r="I527" s="12"/>
    </row>
    <row r="528" ht="15.75" customHeight="1">
      <c r="A528" s="14"/>
      <c r="D528" s="11"/>
      <c r="E528" s="12"/>
      <c r="F528" s="13"/>
      <c r="I528" s="12"/>
    </row>
    <row r="529" ht="15.75" customHeight="1">
      <c r="A529" s="14"/>
      <c r="D529" s="11"/>
      <c r="E529" s="12"/>
      <c r="F529" s="13"/>
      <c r="I529" s="12"/>
    </row>
    <row r="530" ht="15.75" customHeight="1">
      <c r="A530" s="14"/>
      <c r="D530" s="11"/>
      <c r="E530" s="12"/>
      <c r="F530" s="13"/>
      <c r="I530" s="12"/>
    </row>
    <row r="531" ht="15.75" customHeight="1">
      <c r="A531" s="14"/>
      <c r="D531" s="11"/>
      <c r="E531" s="12"/>
      <c r="F531" s="13"/>
      <c r="I531" s="12"/>
    </row>
    <row r="532" ht="15.75" customHeight="1">
      <c r="A532" s="14"/>
      <c r="D532" s="11"/>
      <c r="E532" s="12"/>
      <c r="F532" s="13"/>
      <c r="I532" s="12"/>
    </row>
    <row r="533" ht="15.75" customHeight="1">
      <c r="A533" s="14"/>
      <c r="D533" s="11"/>
      <c r="E533" s="12"/>
      <c r="F533" s="13"/>
      <c r="I533" s="12"/>
    </row>
    <row r="534" ht="15.75" customHeight="1">
      <c r="A534" s="14"/>
      <c r="D534" s="11"/>
      <c r="E534" s="12"/>
      <c r="F534" s="13"/>
      <c r="I534" s="12"/>
    </row>
    <row r="535" ht="15.75" customHeight="1">
      <c r="A535" s="14"/>
      <c r="D535" s="11"/>
      <c r="E535" s="12"/>
      <c r="F535" s="13"/>
      <c r="I535" s="12"/>
    </row>
    <row r="536" ht="15.75" customHeight="1">
      <c r="A536" s="14"/>
      <c r="D536" s="11"/>
      <c r="E536" s="12"/>
      <c r="F536" s="13"/>
      <c r="I536" s="12"/>
    </row>
    <row r="537" ht="15.75" customHeight="1">
      <c r="A537" s="14"/>
      <c r="D537" s="11"/>
      <c r="E537" s="12"/>
      <c r="F537" s="13"/>
      <c r="I537" s="12"/>
    </row>
    <row r="538" ht="15.75" customHeight="1">
      <c r="A538" s="14"/>
      <c r="D538" s="11"/>
      <c r="E538" s="12"/>
      <c r="F538" s="13"/>
      <c r="I538" s="12"/>
    </row>
    <row r="539" ht="15.75" customHeight="1">
      <c r="A539" s="14"/>
      <c r="D539" s="11"/>
      <c r="E539" s="12"/>
      <c r="F539" s="13"/>
      <c r="I539" s="12"/>
    </row>
    <row r="540" ht="15.75" customHeight="1">
      <c r="A540" s="14"/>
      <c r="D540" s="11"/>
      <c r="E540" s="12"/>
      <c r="F540" s="13"/>
      <c r="I540" s="12"/>
    </row>
    <row r="541" ht="15.75" customHeight="1">
      <c r="A541" s="14"/>
      <c r="D541" s="11"/>
      <c r="E541" s="12"/>
      <c r="F541" s="13"/>
      <c r="I541" s="12"/>
    </row>
    <row r="542" ht="15.75" customHeight="1">
      <c r="A542" s="14"/>
      <c r="D542" s="11"/>
      <c r="E542" s="12"/>
      <c r="F542" s="13"/>
      <c r="I542" s="12"/>
    </row>
    <row r="543" ht="15.75" customHeight="1">
      <c r="A543" s="14"/>
      <c r="D543" s="11"/>
      <c r="E543" s="12"/>
      <c r="F543" s="13"/>
      <c r="I543" s="12"/>
    </row>
    <row r="544" ht="15.75" customHeight="1">
      <c r="A544" s="14"/>
      <c r="D544" s="11"/>
      <c r="E544" s="12"/>
      <c r="F544" s="13"/>
      <c r="I544" s="12"/>
    </row>
    <row r="545" ht="15.75" customHeight="1">
      <c r="A545" s="14"/>
      <c r="D545" s="11"/>
      <c r="E545" s="12"/>
      <c r="F545" s="13"/>
      <c r="I545" s="12"/>
    </row>
    <row r="546" ht="15.75" customHeight="1">
      <c r="A546" s="14"/>
      <c r="D546" s="11"/>
      <c r="E546" s="12"/>
      <c r="F546" s="13"/>
      <c r="I546" s="12"/>
    </row>
    <row r="547" ht="15.75" customHeight="1">
      <c r="A547" s="14"/>
      <c r="D547" s="11"/>
      <c r="E547" s="12"/>
      <c r="F547" s="13"/>
      <c r="I547" s="12"/>
    </row>
    <row r="548" ht="15.75" customHeight="1">
      <c r="A548" s="14"/>
      <c r="D548" s="11"/>
      <c r="E548" s="12"/>
      <c r="F548" s="13"/>
      <c r="I548" s="12"/>
    </row>
    <row r="549" ht="15.75" customHeight="1">
      <c r="A549" s="14"/>
      <c r="D549" s="11"/>
      <c r="E549" s="12"/>
      <c r="F549" s="13"/>
      <c r="I549" s="12"/>
    </row>
    <row r="550" ht="15.75" customHeight="1">
      <c r="A550" s="14"/>
      <c r="D550" s="11"/>
      <c r="E550" s="12"/>
      <c r="F550" s="13"/>
      <c r="I550" s="12"/>
    </row>
    <row r="551" ht="15.75" customHeight="1">
      <c r="A551" s="14"/>
      <c r="D551" s="11"/>
      <c r="E551" s="12"/>
      <c r="F551" s="13"/>
      <c r="I551" s="12"/>
    </row>
    <row r="552" ht="15.75" customHeight="1">
      <c r="A552" s="14"/>
      <c r="D552" s="11"/>
      <c r="E552" s="12"/>
      <c r="F552" s="13"/>
      <c r="I552" s="12"/>
    </row>
    <row r="553" ht="15.75" customHeight="1">
      <c r="A553" s="14"/>
      <c r="D553" s="11"/>
      <c r="E553" s="12"/>
      <c r="F553" s="13"/>
      <c r="I553" s="12"/>
    </row>
    <row r="554" ht="15.75" customHeight="1">
      <c r="A554" s="14"/>
      <c r="D554" s="11"/>
      <c r="E554" s="12"/>
      <c r="F554" s="13"/>
      <c r="I554" s="12"/>
    </row>
    <row r="555" ht="15.75" customHeight="1">
      <c r="A555" s="14"/>
      <c r="D555" s="11"/>
      <c r="E555" s="12"/>
      <c r="F555" s="13"/>
      <c r="I555" s="12"/>
    </row>
    <row r="556" ht="15.75" customHeight="1">
      <c r="A556" s="14"/>
      <c r="D556" s="11"/>
      <c r="E556" s="12"/>
      <c r="F556" s="13"/>
      <c r="I556" s="12"/>
    </row>
    <row r="557" ht="15.75" customHeight="1">
      <c r="A557" s="14"/>
      <c r="D557" s="11"/>
      <c r="E557" s="12"/>
      <c r="F557" s="13"/>
      <c r="I557" s="12"/>
    </row>
    <row r="558" ht="15.75" customHeight="1">
      <c r="A558" s="14"/>
      <c r="D558" s="11"/>
      <c r="E558" s="12"/>
      <c r="F558" s="13"/>
      <c r="I558" s="12"/>
    </row>
    <row r="559" ht="15.75" customHeight="1">
      <c r="A559" s="14"/>
      <c r="D559" s="11"/>
      <c r="E559" s="12"/>
      <c r="F559" s="13"/>
      <c r="I559" s="12"/>
    </row>
    <row r="560" ht="15.75" customHeight="1">
      <c r="A560" s="14"/>
      <c r="D560" s="11"/>
      <c r="E560" s="12"/>
      <c r="F560" s="13"/>
      <c r="I560" s="12"/>
    </row>
    <row r="561" ht="15.75" customHeight="1">
      <c r="A561" s="14"/>
      <c r="D561" s="11"/>
      <c r="E561" s="12"/>
      <c r="F561" s="13"/>
      <c r="I561" s="12"/>
    </row>
    <row r="562" ht="15.75" customHeight="1">
      <c r="A562" s="14"/>
      <c r="D562" s="11"/>
      <c r="E562" s="12"/>
      <c r="F562" s="13"/>
      <c r="I562" s="12"/>
    </row>
    <row r="563" ht="15.75" customHeight="1">
      <c r="A563" s="14"/>
      <c r="D563" s="11"/>
      <c r="E563" s="12"/>
      <c r="F563" s="13"/>
      <c r="I563" s="12"/>
    </row>
    <row r="564" ht="15.75" customHeight="1">
      <c r="A564" s="14"/>
      <c r="D564" s="11"/>
      <c r="E564" s="12"/>
      <c r="F564" s="13"/>
      <c r="I564" s="12"/>
    </row>
    <row r="565" ht="15.75" customHeight="1">
      <c r="A565" s="14"/>
      <c r="D565" s="11"/>
      <c r="E565" s="12"/>
      <c r="F565" s="13"/>
      <c r="I565" s="12"/>
    </row>
    <row r="566" ht="15.75" customHeight="1">
      <c r="A566" s="14"/>
      <c r="D566" s="11"/>
      <c r="E566" s="12"/>
      <c r="F566" s="13"/>
      <c r="I566" s="12"/>
    </row>
    <row r="567" ht="15.75" customHeight="1">
      <c r="A567" s="14"/>
      <c r="D567" s="11"/>
      <c r="E567" s="12"/>
      <c r="F567" s="13"/>
      <c r="I567" s="12"/>
    </row>
    <row r="568" ht="15.75" customHeight="1">
      <c r="A568" s="14"/>
      <c r="D568" s="11"/>
      <c r="E568" s="12"/>
      <c r="F568" s="13"/>
      <c r="I568" s="12"/>
    </row>
    <row r="569" ht="15.75" customHeight="1">
      <c r="A569" s="14"/>
      <c r="D569" s="11"/>
      <c r="E569" s="12"/>
      <c r="F569" s="13"/>
      <c r="I569" s="12"/>
    </row>
    <row r="570" ht="15.75" customHeight="1">
      <c r="A570" s="14"/>
      <c r="D570" s="11"/>
      <c r="E570" s="12"/>
      <c r="F570" s="13"/>
      <c r="I570" s="12"/>
    </row>
    <row r="571" ht="15.75" customHeight="1">
      <c r="A571" s="14"/>
      <c r="D571" s="11"/>
      <c r="E571" s="12"/>
      <c r="F571" s="13"/>
      <c r="I571" s="12"/>
    </row>
    <row r="572" ht="15.75" customHeight="1">
      <c r="A572" s="14"/>
      <c r="D572" s="11"/>
      <c r="E572" s="12"/>
      <c r="F572" s="13"/>
      <c r="I572" s="12"/>
    </row>
    <row r="573" ht="15.75" customHeight="1">
      <c r="A573" s="14"/>
      <c r="D573" s="11"/>
      <c r="E573" s="12"/>
      <c r="F573" s="13"/>
      <c r="I573" s="12"/>
    </row>
    <row r="574" ht="15.75" customHeight="1">
      <c r="A574" s="14"/>
      <c r="D574" s="11"/>
      <c r="E574" s="12"/>
      <c r="F574" s="13"/>
      <c r="I574" s="12"/>
    </row>
    <row r="575" ht="15.75" customHeight="1">
      <c r="A575" s="14"/>
      <c r="D575" s="11"/>
      <c r="E575" s="12"/>
      <c r="F575" s="13"/>
      <c r="I575" s="12"/>
    </row>
    <row r="576" ht="15.75" customHeight="1">
      <c r="A576" s="14"/>
      <c r="D576" s="11"/>
      <c r="E576" s="12"/>
      <c r="F576" s="13"/>
      <c r="I576" s="12"/>
    </row>
    <row r="577" ht="15.75" customHeight="1">
      <c r="A577" s="14"/>
      <c r="D577" s="11"/>
      <c r="E577" s="12"/>
      <c r="F577" s="13"/>
      <c r="I577" s="12"/>
    </row>
    <row r="578" ht="15.75" customHeight="1">
      <c r="A578" s="14"/>
      <c r="D578" s="11"/>
      <c r="E578" s="12"/>
      <c r="F578" s="13"/>
      <c r="I578" s="12"/>
    </row>
    <row r="579" ht="15.75" customHeight="1">
      <c r="A579" s="14"/>
      <c r="D579" s="11"/>
      <c r="E579" s="12"/>
      <c r="F579" s="13"/>
      <c r="I579" s="12"/>
    </row>
    <row r="580" ht="15.75" customHeight="1">
      <c r="A580" s="14"/>
      <c r="D580" s="11"/>
      <c r="E580" s="12"/>
      <c r="F580" s="13"/>
      <c r="I580" s="12"/>
    </row>
    <row r="581" ht="15.75" customHeight="1">
      <c r="A581" s="14"/>
      <c r="D581" s="11"/>
      <c r="E581" s="12"/>
      <c r="F581" s="13"/>
      <c r="I581" s="12"/>
    </row>
    <row r="582" ht="15.75" customHeight="1">
      <c r="A582" s="14"/>
      <c r="D582" s="11"/>
      <c r="E582" s="12"/>
      <c r="F582" s="13"/>
      <c r="I582" s="12"/>
    </row>
    <row r="583" ht="15.75" customHeight="1">
      <c r="A583" s="14"/>
      <c r="D583" s="11"/>
      <c r="E583" s="12"/>
      <c r="F583" s="13"/>
      <c r="I583" s="12"/>
    </row>
    <row r="584" ht="15.75" customHeight="1">
      <c r="A584" s="14"/>
      <c r="D584" s="11"/>
      <c r="E584" s="12"/>
      <c r="F584" s="13"/>
      <c r="I584" s="12"/>
    </row>
    <row r="585" ht="15.75" customHeight="1">
      <c r="A585" s="14"/>
      <c r="D585" s="11"/>
      <c r="E585" s="12"/>
      <c r="F585" s="13"/>
      <c r="I585" s="12"/>
    </row>
    <row r="586" ht="15.75" customHeight="1">
      <c r="A586" s="14"/>
      <c r="D586" s="11"/>
      <c r="E586" s="12"/>
      <c r="F586" s="13"/>
      <c r="I586" s="12"/>
    </row>
    <row r="587" ht="15.75" customHeight="1">
      <c r="A587" s="14"/>
      <c r="D587" s="11"/>
      <c r="E587" s="12"/>
      <c r="F587" s="13"/>
      <c r="I587" s="12"/>
    </row>
    <row r="588" ht="15.75" customHeight="1">
      <c r="A588" s="14"/>
      <c r="D588" s="11"/>
      <c r="E588" s="12"/>
      <c r="F588" s="13"/>
      <c r="I588" s="12"/>
    </row>
    <row r="589" ht="15.75" customHeight="1">
      <c r="A589" s="14"/>
      <c r="D589" s="11"/>
      <c r="E589" s="12"/>
      <c r="F589" s="13"/>
      <c r="I589" s="12"/>
    </row>
    <row r="590" ht="15.75" customHeight="1">
      <c r="A590" s="14"/>
      <c r="D590" s="11"/>
      <c r="E590" s="12"/>
      <c r="F590" s="13"/>
      <c r="I590" s="12"/>
    </row>
    <row r="591" ht="15.75" customHeight="1">
      <c r="A591" s="14"/>
      <c r="D591" s="11"/>
      <c r="E591" s="12"/>
      <c r="F591" s="13"/>
      <c r="I591" s="12"/>
    </row>
    <row r="592" ht="15.75" customHeight="1">
      <c r="A592" s="14"/>
      <c r="D592" s="11"/>
      <c r="E592" s="12"/>
      <c r="F592" s="13"/>
      <c r="I592" s="12"/>
    </row>
    <row r="593" ht="15.75" customHeight="1">
      <c r="A593" s="14"/>
      <c r="D593" s="11"/>
      <c r="E593" s="12"/>
      <c r="F593" s="13"/>
      <c r="I593" s="12"/>
    </row>
    <row r="594" ht="15.75" customHeight="1">
      <c r="A594" s="14"/>
      <c r="D594" s="11"/>
      <c r="E594" s="12"/>
      <c r="F594" s="13"/>
      <c r="I594" s="12"/>
    </row>
    <row r="595" ht="15.75" customHeight="1">
      <c r="A595" s="14"/>
      <c r="D595" s="11"/>
      <c r="E595" s="12"/>
      <c r="F595" s="13"/>
      <c r="I595" s="12"/>
    </row>
    <row r="596" ht="15.75" customHeight="1">
      <c r="A596" s="14"/>
      <c r="D596" s="11"/>
      <c r="E596" s="12"/>
      <c r="F596" s="13"/>
      <c r="I596" s="12"/>
    </row>
    <row r="597" ht="15.75" customHeight="1">
      <c r="A597" s="14"/>
      <c r="D597" s="11"/>
      <c r="E597" s="12"/>
      <c r="F597" s="13"/>
      <c r="I597" s="12"/>
    </row>
    <row r="598" ht="15.75" customHeight="1">
      <c r="A598" s="14"/>
      <c r="D598" s="11"/>
      <c r="E598" s="12"/>
      <c r="F598" s="13"/>
      <c r="I598" s="12"/>
    </row>
    <row r="599" ht="15.75" customHeight="1">
      <c r="A599" s="14"/>
      <c r="D599" s="11"/>
      <c r="E599" s="12"/>
      <c r="F599" s="13"/>
      <c r="I599" s="12"/>
    </row>
    <row r="600" ht="15.75" customHeight="1">
      <c r="A600" s="14"/>
      <c r="D600" s="11"/>
      <c r="E600" s="12"/>
      <c r="F600" s="13"/>
      <c r="I600" s="12"/>
    </row>
    <row r="601" ht="15.75" customHeight="1">
      <c r="A601" s="14"/>
      <c r="D601" s="11"/>
      <c r="E601" s="12"/>
      <c r="F601" s="13"/>
      <c r="I601" s="12"/>
    </row>
    <row r="602" ht="15.75" customHeight="1">
      <c r="A602" s="14"/>
      <c r="D602" s="11"/>
      <c r="E602" s="12"/>
      <c r="F602" s="13"/>
      <c r="I602" s="12"/>
    </row>
    <row r="603" ht="15.75" customHeight="1">
      <c r="A603" s="14"/>
      <c r="D603" s="11"/>
      <c r="E603" s="12"/>
      <c r="F603" s="13"/>
      <c r="I603" s="12"/>
    </row>
    <row r="604" ht="15.75" customHeight="1">
      <c r="A604" s="14"/>
      <c r="D604" s="11"/>
      <c r="E604" s="12"/>
      <c r="F604" s="13"/>
      <c r="I604" s="12"/>
    </row>
    <row r="605" ht="15.75" customHeight="1">
      <c r="A605" s="14"/>
      <c r="D605" s="11"/>
      <c r="E605" s="12"/>
      <c r="F605" s="13"/>
      <c r="I605" s="12"/>
    </row>
    <row r="606" ht="15.75" customHeight="1">
      <c r="A606" s="14"/>
      <c r="D606" s="11"/>
      <c r="E606" s="12"/>
      <c r="F606" s="13"/>
      <c r="I606" s="12"/>
    </row>
    <row r="607" ht="15.75" customHeight="1">
      <c r="A607" s="14"/>
      <c r="D607" s="11"/>
      <c r="E607" s="12"/>
      <c r="F607" s="13"/>
      <c r="I607" s="12"/>
    </row>
    <row r="608" ht="15.75" customHeight="1">
      <c r="A608" s="14"/>
      <c r="D608" s="11"/>
      <c r="E608" s="12"/>
      <c r="F608" s="13"/>
      <c r="I608" s="12"/>
    </row>
    <row r="609" ht="15.75" customHeight="1">
      <c r="A609" s="14"/>
      <c r="D609" s="11"/>
      <c r="E609" s="12"/>
      <c r="F609" s="13"/>
      <c r="I609" s="12"/>
    </row>
    <row r="610" ht="15.75" customHeight="1">
      <c r="A610" s="14"/>
      <c r="D610" s="11"/>
      <c r="E610" s="12"/>
      <c r="F610" s="13"/>
      <c r="I610" s="12"/>
    </row>
    <row r="611" ht="15.75" customHeight="1">
      <c r="A611" s="14"/>
      <c r="D611" s="11"/>
      <c r="E611" s="12"/>
      <c r="F611" s="13"/>
      <c r="I611" s="12"/>
    </row>
    <row r="612" ht="15.75" customHeight="1">
      <c r="A612" s="14"/>
      <c r="D612" s="11"/>
      <c r="E612" s="12"/>
      <c r="F612" s="13"/>
      <c r="I612" s="12"/>
    </row>
    <row r="613" ht="15.75" customHeight="1">
      <c r="A613" s="14"/>
      <c r="D613" s="11"/>
      <c r="E613" s="12"/>
      <c r="F613" s="13"/>
      <c r="I613" s="12"/>
    </row>
    <row r="614" ht="15.75" customHeight="1">
      <c r="A614" s="14"/>
      <c r="D614" s="11"/>
      <c r="E614" s="12"/>
      <c r="F614" s="13"/>
      <c r="I614" s="12"/>
    </row>
    <row r="615" ht="15.75" customHeight="1">
      <c r="A615" s="14"/>
      <c r="D615" s="11"/>
      <c r="E615" s="12"/>
      <c r="F615" s="13"/>
      <c r="I615" s="12"/>
    </row>
    <row r="616" ht="15.75" customHeight="1">
      <c r="A616" s="14"/>
      <c r="D616" s="11"/>
      <c r="E616" s="12"/>
      <c r="F616" s="13"/>
      <c r="I616" s="12"/>
    </row>
    <row r="617" ht="15.75" customHeight="1">
      <c r="A617" s="14"/>
      <c r="D617" s="11"/>
      <c r="E617" s="12"/>
      <c r="F617" s="13"/>
      <c r="I617" s="12"/>
    </row>
    <row r="618" ht="15.75" customHeight="1">
      <c r="A618" s="14"/>
      <c r="D618" s="11"/>
      <c r="E618" s="12"/>
      <c r="F618" s="13"/>
      <c r="I618" s="12"/>
    </row>
    <row r="619" ht="15.75" customHeight="1">
      <c r="A619" s="14"/>
      <c r="D619" s="11"/>
      <c r="E619" s="12"/>
      <c r="F619" s="13"/>
      <c r="I619" s="12"/>
    </row>
    <row r="620" ht="15.75" customHeight="1">
      <c r="A620" s="14"/>
      <c r="D620" s="11"/>
      <c r="E620" s="12"/>
      <c r="F620" s="13"/>
      <c r="I620" s="12"/>
    </row>
    <row r="621" ht="15.75" customHeight="1">
      <c r="A621" s="14"/>
      <c r="D621" s="11"/>
      <c r="E621" s="12"/>
      <c r="F621" s="13"/>
      <c r="I621" s="12"/>
    </row>
    <row r="622" ht="15.75" customHeight="1">
      <c r="A622" s="14"/>
      <c r="D622" s="11"/>
      <c r="E622" s="12"/>
      <c r="F622" s="13"/>
      <c r="I622" s="12"/>
    </row>
    <row r="623" ht="15.75" customHeight="1">
      <c r="A623" s="14"/>
      <c r="D623" s="11"/>
      <c r="E623" s="12"/>
      <c r="F623" s="13"/>
      <c r="I623" s="12"/>
    </row>
    <row r="624" ht="15.75" customHeight="1">
      <c r="A624" s="14"/>
      <c r="D624" s="11"/>
      <c r="E624" s="12"/>
      <c r="F624" s="13"/>
      <c r="I624" s="12"/>
    </row>
    <row r="625" ht="15.75" customHeight="1">
      <c r="A625" s="14"/>
      <c r="D625" s="11"/>
      <c r="E625" s="12"/>
      <c r="F625" s="13"/>
      <c r="I625" s="12"/>
    </row>
    <row r="626" ht="15.75" customHeight="1">
      <c r="A626" s="14"/>
      <c r="D626" s="11"/>
      <c r="E626" s="12"/>
      <c r="F626" s="13"/>
      <c r="I626" s="12"/>
    </row>
    <row r="627" ht="15.75" customHeight="1">
      <c r="A627" s="14"/>
      <c r="D627" s="11"/>
      <c r="E627" s="12"/>
      <c r="F627" s="13"/>
      <c r="I627" s="12"/>
    </row>
    <row r="628" ht="15.75" customHeight="1">
      <c r="A628" s="14"/>
      <c r="D628" s="11"/>
      <c r="E628" s="12"/>
      <c r="F628" s="13"/>
      <c r="I628" s="12"/>
    </row>
    <row r="629" ht="15.75" customHeight="1">
      <c r="A629" s="14"/>
      <c r="D629" s="11"/>
      <c r="E629" s="12"/>
      <c r="F629" s="13"/>
      <c r="I629" s="12"/>
    </row>
    <row r="630" ht="15.75" customHeight="1">
      <c r="A630" s="14"/>
      <c r="D630" s="11"/>
      <c r="E630" s="12"/>
      <c r="F630" s="13"/>
      <c r="I630" s="12"/>
    </row>
    <row r="631" ht="15.75" customHeight="1">
      <c r="A631" s="14"/>
      <c r="D631" s="11"/>
      <c r="E631" s="12"/>
      <c r="F631" s="13"/>
      <c r="I631" s="12"/>
    </row>
    <row r="632" ht="15.75" customHeight="1">
      <c r="A632" s="14"/>
      <c r="D632" s="11"/>
      <c r="E632" s="12"/>
      <c r="F632" s="13"/>
      <c r="I632" s="12"/>
    </row>
    <row r="633" ht="15.75" customHeight="1">
      <c r="A633" s="14"/>
      <c r="D633" s="11"/>
      <c r="E633" s="12"/>
      <c r="F633" s="13"/>
      <c r="I633" s="12"/>
    </row>
    <row r="634" ht="15.75" customHeight="1">
      <c r="A634" s="14"/>
      <c r="D634" s="11"/>
      <c r="E634" s="12"/>
      <c r="F634" s="13"/>
      <c r="I634" s="12"/>
    </row>
    <row r="635" ht="15.75" customHeight="1">
      <c r="A635" s="14"/>
      <c r="D635" s="11"/>
      <c r="E635" s="12"/>
      <c r="F635" s="13"/>
      <c r="I635" s="12"/>
    </row>
    <row r="636" ht="15.75" customHeight="1">
      <c r="A636" s="14"/>
      <c r="D636" s="11"/>
      <c r="E636" s="12"/>
      <c r="F636" s="13"/>
      <c r="I636" s="12"/>
    </row>
    <row r="637" ht="15.75" customHeight="1">
      <c r="A637" s="14"/>
      <c r="D637" s="11"/>
      <c r="E637" s="12"/>
      <c r="F637" s="13"/>
      <c r="I637" s="12"/>
    </row>
    <row r="638" ht="15.75" customHeight="1">
      <c r="A638" s="14"/>
      <c r="D638" s="11"/>
      <c r="E638" s="12"/>
      <c r="F638" s="13"/>
      <c r="I638" s="12"/>
    </row>
    <row r="639" ht="15.75" customHeight="1">
      <c r="A639" s="14"/>
      <c r="D639" s="11"/>
      <c r="E639" s="12"/>
      <c r="F639" s="13"/>
      <c r="I639" s="12"/>
    </row>
    <row r="640" ht="15.75" customHeight="1">
      <c r="A640" s="14"/>
      <c r="D640" s="11"/>
      <c r="E640" s="12"/>
      <c r="F640" s="13"/>
      <c r="I640" s="12"/>
    </row>
    <row r="641" ht="15.75" customHeight="1">
      <c r="A641" s="14"/>
      <c r="D641" s="11"/>
      <c r="E641" s="12"/>
      <c r="F641" s="13"/>
      <c r="I641" s="12"/>
    </row>
    <row r="642" ht="15.75" customHeight="1">
      <c r="A642" s="14"/>
      <c r="D642" s="11"/>
      <c r="E642" s="12"/>
      <c r="F642" s="13"/>
      <c r="I642" s="12"/>
    </row>
    <row r="643" ht="15.75" customHeight="1">
      <c r="A643" s="14"/>
      <c r="D643" s="11"/>
      <c r="E643" s="12"/>
      <c r="F643" s="13"/>
      <c r="I643" s="12"/>
    </row>
    <row r="644" ht="15.75" customHeight="1">
      <c r="A644" s="14"/>
      <c r="D644" s="11"/>
      <c r="E644" s="12"/>
      <c r="F644" s="13"/>
      <c r="I644" s="12"/>
    </row>
    <row r="645" ht="15.75" customHeight="1">
      <c r="A645" s="14"/>
      <c r="D645" s="11"/>
      <c r="E645" s="12"/>
      <c r="F645" s="13"/>
      <c r="I645" s="12"/>
    </row>
    <row r="646" ht="15.75" customHeight="1">
      <c r="A646" s="14"/>
      <c r="D646" s="11"/>
      <c r="E646" s="12"/>
      <c r="F646" s="13"/>
      <c r="I646" s="12"/>
    </row>
    <row r="647" ht="15.75" customHeight="1">
      <c r="A647" s="14"/>
      <c r="D647" s="11"/>
      <c r="E647" s="12"/>
      <c r="F647" s="13"/>
      <c r="I647" s="12"/>
    </row>
    <row r="648" ht="15.75" customHeight="1">
      <c r="A648" s="14"/>
      <c r="D648" s="11"/>
      <c r="E648" s="12"/>
      <c r="F648" s="13"/>
      <c r="I648" s="12"/>
    </row>
    <row r="649" ht="15.75" customHeight="1">
      <c r="A649" s="14"/>
      <c r="D649" s="11"/>
      <c r="E649" s="12"/>
      <c r="F649" s="13"/>
      <c r="I649" s="12"/>
    </row>
    <row r="650" ht="15.75" customHeight="1">
      <c r="A650" s="14"/>
      <c r="D650" s="11"/>
      <c r="E650" s="12"/>
      <c r="F650" s="13"/>
      <c r="I650" s="12"/>
    </row>
    <row r="651" ht="15.75" customHeight="1">
      <c r="A651" s="14"/>
      <c r="D651" s="11"/>
      <c r="E651" s="12"/>
      <c r="F651" s="13"/>
      <c r="I651" s="12"/>
    </row>
    <row r="652" ht="15.75" customHeight="1">
      <c r="A652" s="14"/>
      <c r="D652" s="11"/>
      <c r="E652" s="12"/>
      <c r="F652" s="13"/>
      <c r="I652" s="12"/>
    </row>
    <row r="653" ht="15.75" customHeight="1">
      <c r="A653" s="14"/>
      <c r="D653" s="11"/>
      <c r="E653" s="12"/>
      <c r="F653" s="13"/>
      <c r="I653" s="12"/>
    </row>
    <row r="654" ht="15.75" customHeight="1">
      <c r="A654" s="14"/>
      <c r="D654" s="11"/>
      <c r="E654" s="12"/>
      <c r="F654" s="13"/>
      <c r="I654" s="12"/>
    </row>
    <row r="655" ht="15.75" customHeight="1">
      <c r="A655" s="14"/>
      <c r="D655" s="11"/>
      <c r="E655" s="12"/>
      <c r="F655" s="13"/>
      <c r="I655" s="12"/>
    </row>
    <row r="656" ht="15.75" customHeight="1">
      <c r="A656" s="14"/>
      <c r="D656" s="11"/>
      <c r="E656" s="12"/>
      <c r="F656" s="13"/>
      <c r="I656" s="12"/>
    </row>
    <row r="657" ht="15.75" customHeight="1">
      <c r="A657" s="14"/>
      <c r="D657" s="11"/>
      <c r="E657" s="12"/>
      <c r="F657" s="13"/>
      <c r="I657" s="12"/>
    </row>
    <row r="658" ht="15.75" customHeight="1">
      <c r="A658" s="14"/>
      <c r="D658" s="11"/>
      <c r="E658" s="12"/>
      <c r="F658" s="13"/>
      <c r="I658" s="12"/>
    </row>
    <row r="659" ht="15.75" customHeight="1">
      <c r="A659" s="14"/>
      <c r="D659" s="11"/>
      <c r="E659" s="12"/>
      <c r="F659" s="13"/>
      <c r="I659" s="12"/>
    </row>
    <row r="660" ht="15.75" customHeight="1">
      <c r="A660" s="14"/>
      <c r="D660" s="11"/>
      <c r="E660" s="12"/>
      <c r="F660" s="13"/>
      <c r="I660" s="12"/>
    </row>
    <row r="661" ht="15.75" customHeight="1">
      <c r="A661" s="14"/>
      <c r="D661" s="11"/>
      <c r="E661" s="12"/>
      <c r="F661" s="13"/>
      <c r="I661" s="12"/>
    </row>
    <row r="662" ht="15.75" customHeight="1">
      <c r="A662" s="14"/>
      <c r="D662" s="11"/>
      <c r="E662" s="12"/>
      <c r="F662" s="13"/>
      <c r="I662" s="12"/>
    </row>
    <row r="663" ht="15.75" customHeight="1">
      <c r="A663" s="14"/>
      <c r="D663" s="11"/>
      <c r="E663" s="12"/>
      <c r="F663" s="13"/>
      <c r="I663" s="12"/>
    </row>
    <row r="664" ht="15.75" customHeight="1">
      <c r="A664" s="14"/>
      <c r="D664" s="11"/>
      <c r="E664" s="12"/>
      <c r="F664" s="13"/>
      <c r="I664" s="12"/>
    </row>
    <row r="665" ht="15.75" customHeight="1">
      <c r="A665" s="14"/>
      <c r="D665" s="11"/>
      <c r="E665" s="12"/>
      <c r="F665" s="13"/>
      <c r="I665" s="12"/>
    </row>
    <row r="666" ht="15.75" customHeight="1">
      <c r="A666" s="14"/>
      <c r="D666" s="11"/>
      <c r="E666" s="12"/>
      <c r="F666" s="13"/>
      <c r="I666" s="12"/>
    </row>
    <row r="667" ht="15.75" customHeight="1">
      <c r="A667" s="14"/>
      <c r="D667" s="11"/>
      <c r="E667" s="12"/>
      <c r="F667" s="13"/>
      <c r="I667" s="12"/>
    </row>
    <row r="668" ht="15.75" customHeight="1">
      <c r="A668" s="14"/>
      <c r="D668" s="11"/>
      <c r="E668" s="12"/>
      <c r="F668" s="13"/>
      <c r="I668" s="12"/>
    </row>
    <row r="669" ht="15.75" customHeight="1">
      <c r="A669" s="14"/>
      <c r="D669" s="11"/>
      <c r="E669" s="12"/>
      <c r="F669" s="13"/>
      <c r="I669" s="12"/>
    </row>
    <row r="670" ht="15.75" customHeight="1">
      <c r="A670" s="14"/>
      <c r="D670" s="11"/>
      <c r="E670" s="12"/>
      <c r="F670" s="13"/>
      <c r="I670" s="12"/>
    </row>
    <row r="671" ht="15.75" customHeight="1">
      <c r="A671" s="14"/>
      <c r="D671" s="11"/>
      <c r="E671" s="12"/>
      <c r="F671" s="13"/>
      <c r="I671" s="12"/>
    </row>
    <row r="672" ht="15.75" customHeight="1">
      <c r="A672" s="14"/>
      <c r="D672" s="11"/>
      <c r="E672" s="12"/>
      <c r="F672" s="13"/>
      <c r="I672" s="12"/>
    </row>
    <row r="673" ht="15.75" customHeight="1">
      <c r="A673" s="14"/>
      <c r="D673" s="11"/>
      <c r="E673" s="12"/>
      <c r="F673" s="13"/>
      <c r="I673" s="12"/>
    </row>
    <row r="674" ht="15.75" customHeight="1">
      <c r="A674" s="14"/>
      <c r="D674" s="11"/>
      <c r="E674" s="12"/>
      <c r="F674" s="13"/>
      <c r="I674" s="12"/>
    </row>
    <row r="675" ht="15.75" customHeight="1">
      <c r="A675" s="14"/>
      <c r="D675" s="11"/>
      <c r="E675" s="12"/>
      <c r="F675" s="13"/>
      <c r="I675" s="12"/>
    </row>
    <row r="676" ht="15.75" customHeight="1">
      <c r="A676" s="14"/>
      <c r="D676" s="11"/>
      <c r="E676" s="12"/>
      <c r="F676" s="13"/>
      <c r="I676" s="12"/>
    </row>
    <row r="677" ht="15.75" customHeight="1">
      <c r="A677" s="14"/>
      <c r="D677" s="11"/>
      <c r="E677" s="12"/>
      <c r="F677" s="13"/>
      <c r="I677" s="12"/>
    </row>
    <row r="678" ht="15.75" customHeight="1">
      <c r="A678" s="14"/>
      <c r="D678" s="11"/>
      <c r="E678" s="12"/>
      <c r="F678" s="13"/>
      <c r="I678" s="12"/>
    </row>
    <row r="679" ht="15.75" customHeight="1">
      <c r="A679" s="14"/>
      <c r="D679" s="11"/>
      <c r="E679" s="12"/>
      <c r="F679" s="13"/>
      <c r="I679" s="12"/>
    </row>
    <row r="680" ht="15.75" customHeight="1">
      <c r="A680" s="14"/>
      <c r="D680" s="11"/>
      <c r="E680" s="12"/>
      <c r="F680" s="13"/>
      <c r="I680" s="12"/>
    </row>
    <row r="681" ht="15.75" customHeight="1">
      <c r="A681" s="14"/>
      <c r="D681" s="11"/>
      <c r="E681" s="12"/>
      <c r="F681" s="13"/>
      <c r="I681" s="12"/>
    </row>
    <row r="682" ht="15.75" customHeight="1">
      <c r="A682" s="14"/>
      <c r="D682" s="11"/>
      <c r="E682" s="12"/>
      <c r="F682" s="13"/>
      <c r="I682" s="12"/>
    </row>
    <row r="683" ht="15.75" customHeight="1">
      <c r="A683" s="14"/>
      <c r="D683" s="11"/>
      <c r="E683" s="12"/>
      <c r="F683" s="13"/>
      <c r="I683" s="12"/>
    </row>
    <row r="684" ht="15.75" customHeight="1">
      <c r="A684" s="14"/>
      <c r="D684" s="11"/>
      <c r="E684" s="12"/>
      <c r="F684" s="13"/>
      <c r="I684" s="12"/>
    </row>
    <row r="685" ht="15.75" customHeight="1">
      <c r="A685" s="14"/>
      <c r="D685" s="11"/>
      <c r="E685" s="12"/>
      <c r="F685" s="13"/>
      <c r="I685" s="12"/>
    </row>
    <row r="686" ht="15.75" customHeight="1">
      <c r="A686" s="14"/>
      <c r="D686" s="11"/>
      <c r="E686" s="12"/>
      <c r="F686" s="13"/>
      <c r="I686" s="12"/>
    </row>
    <row r="687" ht="15.75" customHeight="1">
      <c r="A687" s="14"/>
      <c r="D687" s="11"/>
      <c r="E687" s="12"/>
      <c r="F687" s="13"/>
      <c r="I687" s="12"/>
    </row>
    <row r="688" ht="15.75" customHeight="1">
      <c r="A688" s="14"/>
      <c r="D688" s="11"/>
      <c r="E688" s="12"/>
      <c r="F688" s="13"/>
      <c r="I688" s="12"/>
    </row>
    <row r="689" ht="15.75" customHeight="1">
      <c r="A689" s="14"/>
      <c r="D689" s="11"/>
      <c r="E689" s="12"/>
      <c r="F689" s="13"/>
      <c r="I689" s="12"/>
    </row>
    <row r="690" ht="15.75" customHeight="1">
      <c r="A690" s="14"/>
      <c r="D690" s="11"/>
      <c r="E690" s="12"/>
      <c r="F690" s="13"/>
      <c r="I690" s="12"/>
    </row>
    <row r="691" ht="15.75" customHeight="1">
      <c r="A691" s="14"/>
      <c r="D691" s="11"/>
      <c r="E691" s="12"/>
      <c r="F691" s="13"/>
      <c r="I691" s="12"/>
    </row>
    <row r="692" ht="15.75" customHeight="1">
      <c r="A692" s="14"/>
      <c r="D692" s="11"/>
      <c r="E692" s="12"/>
      <c r="F692" s="13"/>
      <c r="I692" s="12"/>
    </row>
    <row r="693" ht="15.75" customHeight="1">
      <c r="A693" s="14"/>
      <c r="D693" s="11"/>
      <c r="E693" s="12"/>
      <c r="F693" s="13"/>
      <c r="I693" s="12"/>
    </row>
    <row r="694" ht="15.75" customHeight="1">
      <c r="A694" s="14"/>
      <c r="D694" s="11"/>
      <c r="E694" s="12"/>
      <c r="F694" s="13"/>
      <c r="I694" s="12"/>
    </row>
    <row r="695" ht="15.75" customHeight="1">
      <c r="A695" s="14"/>
      <c r="D695" s="11"/>
      <c r="E695" s="12"/>
      <c r="F695" s="13"/>
      <c r="I695" s="12"/>
    </row>
    <row r="696" ht="15.75" customHeight="1">
      <c r="A696" s="14"/>
      <c r="D696" s="11"/>
      <c r="E696" s="12"/>
      <c r="F696" s="13"/>
      <c r="I696" s="12"/>
    </row>
    <row r="697" ht="15.75" customHeight="1">
      <c r="A697" s="14"/>
      <c r="D697" s="11"/>
      <c r="E697" s="12"/>
      <c r="F697" s="13"/>
      <c r="I697" s="12"/>
    </row>
    <row r="698" ht="15.75" customHeight="1">
      <c r="A698" s="14"/>
      <c r="D698" s="11"/>
      <c r="E698" s="12"/>
      <c r="F698" s="13"/>
      <c r="I698" s="12"/>
    </row>
    <row r="699" ht="15.75" customHeight="1">
      <c r="A699" s="14"/>
      <c r="D699" s="11"/>
      <c r="E699" s="12"/>
      <c r="F699" s="13"/>
      <c r="I699" s="12"/>
    </row>
    <row r="700" ht="15.75" customHeight="1">
      <c r="A700" s="14"/>
      <c r="D700" s="11"/>
      <c r="E700" s="12"/>
      <c r="F700" s="13"/>
      <c r="I700" s="12"/>
    </row>
    <row r="701" ht="15.75" customHeight="1">
      <c r="A701" s="14"/>
      <c r="D701" s="11"/>
      <c r="E701" s="12"/>
      <c r="F701" s="13"/>
      <c r="I701" s="12"/>
    </row>
    <row r="702" ht="15.75" customHeight="1">
      <c r="A702" s="14"/>
      <c r="D702" s="11"/>
      <c r="E702" s="12"/>
      <c r="F702" s="13"/>
      <c r="I702" s="12"/>
    </row>
    <row r="703" ht="15.75" customHeight="1">
      <c r="A703" s="14"/>
      <c r="D703" s="11"/>
      <c r="E703" s="12"/>
      <c r="F703" s="13"/>
      <c r="I703" s="12"/>
    </row>
    <row r="704" ht="15.75" customHeight="1">
      <c r="A704" s="14"/>
      <c r="D704" s="11"/>
      <c r="E704" s="12"/>
      <c r="F704" s="13"/>
      <c r="I704" s="12"/>
    </row>
    <row r="705" ht="15.75" customHeight="1">
      <c r="A705" s="14"/>
      <c r="D705" s="11"/>
      <c r="E705" s="12"/>
      <c r="F705" s="13"/>
      <c r="I705" s="12"/>
    </row>
    <row r="706" ht="15.75" customHeight="1">
      <c r="A706" s="14"/>
      <c r="D706" s="11"/>
      <c r="E706" s="12"/>
      <c r="F706" s="13"/>
      <c r="I706" s="12"/>
    </row>
    <row r="707" ht="15.75" customHeight="1">
      <c r="A707" s="14"/>
      <c r="D707" s="11"/>
      <c r="E707" s="12"/>
      <c r="F707" s="13"/>
      <c r="I707" s="12"/>
    </row>
    <row r="708" ht="15.75" customHeight="1">
      <c r="A708" s="14"/>
      <c r="D708" s="11"/>
      <c r="E708" s="12"/>
      <c r="F708" s="13"/>
      <c r="I708" s="12"/>
    </row>
    <row r="709" ht="15.75" customHeight="1">
      <c r="A709" s="14"/>
      <c r="D709" s="11"/>
      <c r="E709" s="12"/>
      <c r="F709" s="13"/>
      <c r="I709" s="12"/>
    </row>
    <row r="710" ht="15.75" customHeight="1">
      <c r="A710" s="14"/>
      <c r="D710" s="11"/>
      <c r="E710" s="12"/>
      <c r="F710" s="13"/>
      <c r="I710" s="12"/>
    </row>
    <row r="711" ht="15.75" customHeight="1">
      <c r="A711" s="14"/>
      <c r="D711" s="11"/>
      <c r="E711" s="12"/>
      <c r="F711" s="13"/>
      <c r="I711" s="12"/>
    </row>
    <row r="712" ht="15.75" customHeight="1">
      <c r="A712" s="14"/>
      <c r="D712" s="11"/>
      <c r="E712" s="12"/>
      <c r="F712" s="13"/>
      <c r="I712" s="12"/>
    </row>
    <row r="713" ht="15.75" customHeight="1">
      <c r="A713" s="14"/>
      <c r="D713" s="11"/>
      <c r="E713" s="12"/>
      <c r="F713" s="13"/>
      <c r="I713" s="12"/>
    </row>
    <row r="714" ht="15.75" customHeight="1">
      <c r="A714" s="14"/>
      <c r="D714" s="11"/>
      <c r="E714" s="12"/>
      <c r="F714" s="13"/>
      <c r="I714" s="12"/>
    </row>
    <row r="715" ht="15.75" customHeight="1">
      <c r="A715" s="14"/>
      <c r="D715" s="11"/>
      <c r="E715" s="12"/>
      <c r="F715" s="13"/>
      <c r="I715" s="12"/>
    </row>
    <row r="716" ht="15.75" customHeight="1">
      <c r="A716" s="14"/>
      <c r="D716" s="11"/>
      <c r="E716" s="12"/>
      <c r="F716" s="13"/>
      <c r="I716" s="12"/>
    </row>
    <row r="717" ht="15.75" customHeight="1">
      <c r="A717" s="14"/>
      <c r="D717" s="11"/>
      <c r="E717" s="12"/>
      <c r="F717" s="13"/>
      <c r="I717" s="12"/>
    </row>
    <row r="718" ht="15.75" customHeight="1">
      <c r="A718" s="14"/>
      <c r="D718" s="11"/>
      <c r="E718" s="12"/>
      <c r="F718" s="13"/>
      <c r="I718" s="12"/>
    </row>
    <row r="719" ht="15.75" customHeight="1">
      <c r="A719" s="14"/>
      <c r="D719" s="11"/>
      <c r="E719" s="12"/>
      <c r="F719" s="13"/>
      <c r="I719" s="12"/>
    </row>
    <row r="720" ht="15.75" customHeight="1">
      <c r="A720" s="14"/>
      <c r="D720" s="11"/>
      <c r="E720" s="12"/>
      <c r="F720" s="13"/>
      <c r="I720" s="12"/>
    </row>
    <row r="721" ht="15.75" customHeight="1">
      <c r="A721" s="14"/>
      <c r="D721" s="11"/>
      <c r="E721" s="12"/>
      <c r="F721" s="13"/>
      <c r="I721" s="12"/>
    </row>
    <row r="722" ht="15.75" customHeight="1">
      <c r="A722" s="14"/>
      <c r="D722" s="11"/>
      <c r="E722" s="12"/>
      <c r="F722" s="13"/>
      <c r="I722" s="12"/>
    </row>
    <row r="723" ht="15.75" customHeight="1">
      <c r="A723" s="14"/>
      <c r="D723" s="11"/>
      <c r="E723" s="12"/>
      <c r="F723" s="13"/>
      <c r="I723" s="12"/>
    </row>
    <row r="724" ht="15.75" customHeight="1">
      <c r="A724" s="14"/>
      <c r="D724" s="11"/>
      <c r="E724" s="12"/>
      <c r="F724" s="13"/>
      <c r="I724" s="12"/>
    </row>
    <row r="725" ht="15.75" customHeight="1">
      <c r="A725" s="14"/>
      <c r="D725" s="11"/>
      <c r="E725" s="12"/>
      <c r="F725" s="13"/>
      <c r="I725" s="12"/>
    </row>
    <row r="726" ht="15.75" customHeight="1">
      <c r="A726" s="14"/>
      <c r="D726" s="11"/>
      <c r="E726" s="12"/>
      <c r="F726" s="13"/>
      <c r="I726" s="12"/>
    </row>
    <row r="727" ht="15.75" customHeight="1">
      <c r="A727" s="14"/>
      <c r="D727" s="11"/>
      <c r="E727" s="12"/>
      <c r="F727" s="13"/>
      <c r="I727" s="12"/>
    </row>
    <row r="728" ht="15.75" customHeight="1">
      <c r="A728" s="14"/>
      <c r="D728" s="11"/>
      <c r="E728" s="12"/>
      <c r="F728" s="13"/>
      <c r="I728" s="12"/>
    </row>
    <row r="729" ht="15.75" customHeight="1">
      <c r="A729" s="14"/>
      <c r="D729" s="11"/>
      <c r="E729" s="12"/>
      <c r="F729" s="13"/>
      <c r="I729" s="12"/>
    </row>
    <row r="730" ht="15.75" customHeight="1">
      <c r="A730" s="14"/>
      <c r="D730" s="11"/>
      <c r="E730" s="12"/>
      <c r="F730" s="13"/>
      <c r="I730" s="12"/>
    </row>
    <row r="731" ht="15.75" customHeight="1">
      <c r="A731" s="14"/>
      <c r="D731" s="11"/>
      <c r="E731" s="12"/>
      <c r="F731" s="13"/>
      <c r="I731" s="12"/>
    </row>
    <row r="732" ht="15.75" customHeight="1">
      <c r="A732" s="14"/>
      <c r="D732" s="11"/>
      <c r="E732" s="12"/>
      <c r="F732" s="13"/>
      <c r="I732" s="12"/>
    </row>
    <row r="733" ht="15.75" customHeight="1">
      <c r="A733" s="14"/>
      <c r="D733" s="11"/>
      <c r="E733" s="12"/>
      <c r="F733" s="13"/>
      <c r="I733" s="12"/>
    </row>
    <row r="734" ht="15.75" customHeight="1">
      <c r="A734" s="14"/>
      <c r="D734" s="11"/>
      <c r="E734" s="12"/>
      <c r="F734" s="13"/>
      <c r="I734" s="12"/>
    </row>
    <row r="735" ht="15.75" customHeight="1">
      <c r="A735" s="14"/>
      <c r="D735" s="11"/>
      <c r="E735" s="12"/>
      <c r="F735" s="13"/>
      <c r="I735" s="12"/>
    </row>
    <row r="736" ht="15.75" customHeight="1">
      <c r="A736" s="14"/>
      <c r="D736" s="11"/>
      <c r="E736" s="12"/>
      <c r="F736" s="13"/>
      <c r="I736" s="12"/>
    </row>
    <row r="737" ht="15.75" customHeight="1">
      <c r="A737" s="14"/>
      <c r="D737" s="11"/>
      <c r="E737" s="12"/>
      <c r="F737" s="13"/>
      <c r="I737" s="12"/>
    </row>
    <row r="738" ht="15.75" customHeight="1">
      <c r="A738" s="14"/>
      <c r="D738" s="11"/>
      <c r="E738" s="12"/>
      <c r="F738" s="13"/>
      <c r="I738" s="12"/>
    </row>
    <row r="739" ht="15.75" customHeight="1">
      <c r="A739" s="14"/>
      <c r="D739" s="11"/>
      <c r="E739" s="12"/>
      <c r="F739" s="13"/>
      <c r="I739" s="12"/>
    </row>
    <row r="740" ht="15.75" customHeight="1">
      <c r="A740" s="14"/>
      <c r="D740" s="11"/>
      <c r="E740" s="12"/>
      <c r="F740" s="13"/>
      <c r="I740" s="12"/>
    </row>
    <row r="741" ht="15.75" customHeight="1">
      <c r="A741" s="14"/>
      <c r="D741" s="11"/>
      <c r="E741" s="12"/>
      <c r="F741" s="13"/>
      <c r="I741" s="12"/>
    </row>
    <row r="742" ht="15.75" customHeight="1">
      <c r="A742" s="14"/>
      <c r="D742" s="11"/>
      <c r="E742" s="12"/>
      <c r="F742" s="13"/>
      <c r="I742" s="12"/>
    </row>
    <row r="743" ht="15.75" customHeight="1">
      <c r="A743" s="14"/>
      <c r="D743" s="11"/>
      <c r="E743" s="12"/>
      <c r="F743" s="13"/>
      <c r="I743" s="12"/>
    </row>
    <row r="744" ht="15.75" customHeight="1">
      <c r="A744" s="14"/>
      <c r="D744" s="11"/>
      <c r="E744" s="12"/>
      <c r="F744" s="13"/>
      <c r="I744" s="12"/>
    </row>
    <row r="745" ht="15.75" customHeight="1">
      <c r="A745" s="14"/>
      <c r="D745" s="11"/>
      <c r="E745" s="12"/>
      <c r="F745" s="13"/>
      <c r="I745" s="12"/>
    </row>
    <row r="746" ht="15.75" customHeight="1">
      <c r="A746" s="14"/>
      <c r="D746" s="11"/>
      <c r="E746" s="12"/>
      <c r="F746" s="13"/>
      <c r="I746" s="12"/>
    </row>
    <row r="747" ht="15.75" customHeight="1">
      <c r="A747" s="14"/>
      <c r="D747" s="11"/>
      <c r="E747" s="12"/>
      <c r="F747" s="13"/>
      <c r="I747" s="12"/>
    </row>
    <row r="748" ht="15.75" customHeight="1">
      <c r="A748" s="14"/>
      <c r="D748" s="11"/>
      <c r="E748" s="12"/>
      <c r="F748" s="13"/>
      <c r="I748" s="12"/>
    </row>
    <row r="749" ht="15.75" customHeight="1">
      <c r="A749" s="14"/>
      <c r="D749" s="11"/>
      <c r="E749" s="12"/>
      <c r="F749" s="13"/>
      <c r="I749" s="12"/>
    </row>
    <row r="750" ht="15.75" customHeight="1">
      <c r="A750" s="14"/>
      <c r="D750" s="11"/>
      <c r="E750" s="12"/>
      <c r="F750" s="13"/>
      <c r="I750" s="12"/>
    </row>
    <row r="751" ht="15.75" customHeight="1">
      <c r="A751" s="14"/>
      <c r="D751" s="11"/>
      <c r="E751" s="12"/>
      <c r="F751" s="13"/>
      <c r="I751" s="12"/>
    </row>
    <row r="752" ht="15.75" customHeight="1">
      <c r="A752" s="14"/>
      <c r="D752" s="11"/>
      <c r="E752" s="12"/>
      <c r="F752" s="13"/>
      <c r="I752" s="12"/>
    </row>
    <row r="753" ht="15.75" customHeight="1">
      <c r="A753" s="14"/>
      <c r="D753" s="11"/>
      <c r="E753" s="12"/>
      <c r="F753" s="13"/>
      <c r="I753" s="12"/>
    </row>
    <row r="754" ht="15.75" customHeight="1">
      <c r="A754" s="14"/>
      <c r="D754" s="11"/>
      <c r="E754" s="12"/>
      <c r="F754" s="13"/>
      <c r="I754" s="12"/>
    </row>
    <row r="755" ht="15.75" customHeight="1">
      <c r="A755" s="14"/>
      <c r="D755" s="11"/>
      <c r="E755" s="12"/>
      <c r="F755" s="13"/>
      <c r="I755" s="12"/>
    </row>
    <row r="756" ht="15.75" customHeight="1">
      <c r="A756" s="14"/>
      <c r="D756" s="11"/>
      <c r="E756" s="12"/>
      <c r="F756" s="13"/>
      <c r="I756" s="12"/>
    </row>
    <row r="757" ht="15.75" customHeight="1">
      <c r="A757" s="14"/>
      <c r="D757" s="11"/>
      <c r="E757" s="12"/>
      <c r="F757" s="13"/>
      <c r="I757" s="12"/>
    </row>
    <row r="758" ht="15.75" customHeight="1">
      <c r="A758" s="14"/>
      <c r="D758" s="11"/>
      <c r="E758" s="12"/>
      <c r="F758" s="13"/>
      <c r="I758" s="12"/>
    </row>
    <row r="759" ht="15.75" customHeight="1">
      <c r="A759" s="14"/>
      <c r="D759" s="11"/>
      <c r="E759" s="12"/>
      <c r="F759" s="13"/>
      <c r="I759" s="12"/>
    </row>
    <row r="760" ht="15.75" customHeight="1">
      <c r="A760" s="14"/>
      <c r="D760" s="11"/>
      <c r="E760" s="12"/>
      <c r="F760" s="13"/>
      <c r="I760" s="12"/>
    </row>
    <row r="761" ht="15.75" customHeight="1">
      <c r="A761" s="14"/>
      <c r="D761" s="11"/>
      <c r="E761" s="12"/>
      <c r="F761" s="13"/>
      <c r="I761" s="12"/>
    </row>
    <row r="762" ht="15.75" customHeight="1">
      <c r="A762" s="14"/>
      <c r="D762" s="11"/>
      <c r="E762" s="12"/>
      <c r="F762" s="13"/>
      <c r="I762" s="12"/>
    </row>
    <row r="763" ht="15.75" customHeight="1">
      <c r="A763" s="14"/>
      <c r="D763" s="11"/>
      <c r="E763" s="12"/>
      <c r="F763" s="13"/>
      <c r="I763" s="12"/>
    </row>
    <row r="764" ht="15.75" customHeight="1">
      <c r="A764" s="14"/>
      <c r="D764" s="11"/>
      <c r="E764" s="12"/>
      <c r="F764" s="13"/>
      <c r="I764" s="12"/>
    </row>
    <row r="765" ht="15.75" customHeight="1">
      <c r="A765" s="14"/>
      <c r="D765" s="11"/>
      <c r="E765" s="12"/>
      <c r="F765" s="13"/>
      <c r="I765" s="12"/>
    </row>
    <row r="766" ht="15.75" customHeight="1">
      <c r="A766" s="14"/>
      <c r="D766" s="11"/>
      <c r="E766" s="12"/>
      <c r="F766" s="13"/>
      <c r="I766" s="12"/>
    </row>
    <row r="767" ht="15.75" customHeight="1">
      <c r="A767" s="14"/>
      <c r="D767" s="11"/>
      <c r="E767" s="12"/>
      <c r="F767" s="13"/>
      <c r="I767" s="12"/>
    </row>
    <row r="768" ht="15.75" customHeight="1">
      <c r="A768" s="14"/>
      <c r="D768" s="11"/>
      <c r="E768" s="12"/>
      <c r="F768" s="13"/>
      <c r="I768" s="12"/>
    </row>
    <row r="769" ht="15.75" customHeight="1">
      <c r="A769" s="14"/>
      <c r="D769" s="11"/>
      <c r="E769" s="12"/>
      <c r="F769" s="13"/>
      <c r="I769" s="12"/>
    </row>
    <row r="770" ht="15.75" customHeight="1">
      <c r="A770" s="14"/>
      <c r="D770" s="11"/>
      <c r="E770" s="12"/>
      <c r="F770" s="13"/>
      <c r="I770" s="12"/>
    </row>
    <row r="771" ht="15.75" customHeight="1">
      <c r="A771" s="14"/>
      <c r="D771" s="11"/>
      <c r="E771" s="12"/>
      <c r="F771" s="13"/>
      <c r="I771" s="12"/>
    </row>
    <row r="772" ht="15.75" customHeight="1">
      <c r="A772" s="14"/>
      <c r="D772" s="11"/>
      <c r="E772" s="12"/>
      <c r="F772" s="13"/>
      <c r="I772" s="12"/>
    </row>
    <row r="773" ht="15.75" customHeight="1">
      <c r="A773" s="14"/>
      <c r="D773" s="11"/>
      <c r="E773" s="12"/>
      <c r="F773" s="13"/>
      <c r="I773" s="12"/>
    </row>
    <row r="774" ht="15.75" customHeight="1">
      <c r="A774" s="14"/>
      <c r="D774" s="11"/>
      <c r="E774" s="12"/>
      <c r="F774" s="13"/>
      <c r="I774" s="12"/>
    </row>
    <row r="775" ht="15.75" customHeight="1">
      <c r="A775" s="14"/>
      <c r="D775" s="11"/>
      <c r="E775" s="12"/>
      <c r="F775" s="13"/>
      <c r="I775" s="12"/>
    </row>
    <row r="776" ht="15.75" customHeight="1">
      <c r="A776" s="14"/>
      <c r="D776" s="11"/>
      <c r="E776" s="12"/>
      <c r="F776" s="13"/>
      <c r="I776" s="12"/>
    </row>
    <row r="777" ht="15.75" customHeight="1">
      <c r="A777" s="14"/>
      <c r="D777" s="11"/>
      <c r="E777" s="12"/>
      <c r="F777" s="13"/>
      <c r="I777" s="12"/>
    </row>
    <row r="778" ht="15.75" customHeight="1">
      <c r="A778" s="14"/>
      <c r="D778" s="11"/>
      <c r="E778" s="12"/>
      <c r="F778" s="13"/>
      <c r="I778" s="12"/>
    </row>
    <row r="779" ht="15.75" customHeight="1">
      <c r="A779" s="14"/>
      <c r="D779" s="11"/>
      <c r="E779" s="12"/>
      <c r="F779" s="13"/>
      <c r="I779" s="12"/>
    </row>
    <row r="780" ht="15.75" customHeight="1">
      <c r="A780" s="14"/>
      <c r="D780" s="11"/>
      <c r="E780" s="12"/>
      <c r="F780" s="13"/>
      <c r="I780" s="12"/>
    </row>
    <row r="781" ht="15.75" customHeight="1">
      <c r="A781" s="14"/>
      <c r="D781" s="11"/>
      <c r="E781" s="12"/>
      <c r="F781" s="13"/>
      <c r="I781" s="12"/>
    </row>
    <row r="782" ht="15.75" customHeight="1">
      <c r="A782" s="14"/>
      <c r="D782" s="11"/>
      <c r="E782" s="12"/>
      <c r="F782" s="13"/>
      <c r="I782" s="12"/>
    </row>
    <row r="783" ht="15.75" customHeight="1">
      <c r="A783" s="14"/>
      <c r="D783" s="11"/>
      <c r="E783" s="12"/>
      <c r="F783" s="13"/>
      <c r="I783" s="12"/>
    </row>
    <row r="784" ht="15.75" customHeight="1">
      <c r="A784" s="14"/>
      <c r="D784" s="11"/>
      <c r="E784" s="12"/>
      <c r="F784" s="13"/>
      <c r="I784" s="12"/>
    </row>
    <row r="785" ht="15.75" customHeight="1">
      <c r="A785" s="14"/>
      <c r="D785" s="11"/>
      <c r="E785" s="12"/>
      <c r="F785" s="13"/>
      <c r="I785" s="12"/>
    </row>
    <row r="786" ht="15.75" customHeight="1">
      <c r="A786" s="14"/>
      <c r="D786" s="11"/>
      <c r="E786" s="12"/>
      <c r="F786" s="13"/>
      <c r="I786" s="12"/>
    </row>
    <row r="787" ht="15.75" customHeight="1">
      <c r="A787" s="14"/>
      <c r="D787" s="11"/>
      <c r="E787" s="12"/>
      <c r="F787" s="13"/>
      <c r="I787" s="12"/>
    </row>
    <row r="788" ht="15.75" customHeight="1">
      <c r="A788" s="14"/>
      <c r="D788" s="11"/>
      <c r="E788" s="12"/>
      <c r="F788" s="13"/>
      <c r="I788" s="12"/>
    </row>
    <row r="789" ht="15.75" customHeight="1">
      <c r="A789" s="14"/>
      <c r="D789" s="11"/>
      <c r="E789" s="12"/>
      <c r="F789" s="13"/>
      <c r="I789" s="12"/>
    </row>
    <row r="790" ht="15.75" customHeight="1">
      <c r="A790" s="14"/>
      <c r="D790" s="11"/>
      <c r="E790" s="12"/>
      <c r="F790" s="13"/>
      <c r="I790" s="12"/>
    </row>
    <row r="791" ht="15.75" customHeight="1">
      <c r="A791" s="14"/>
      <c r="D791" s="11"/>
      <c r="E791" s="12"/>
      <c r="F791" s="13"/>
      <c r="I791" s="12"/>
    </row>
    <row r="792" ht="15.75" customHeight="1">
      <c r="A792" s="14"/>
      <c r="D792" s="11"/>
      <c r="E792" s="12"/>
      <c r="F792" s="13"/>
      <c r="I792" s="12"/>
    </row>
    <row r="793" ht="15.75" customHeight="1">
      <c r="A793" s="14"/>
      <c r="D793" s="11"/>
      <c r="E793" s="12"/>
      <c r="F793" s="13"/>
      <c r="I793" s="12"/>
    </row>
    <row r="794" ht="15.75" customHeight="1">
      <c r="A794" s="14"/>
      <c r="D794" s="11"/>
      <c r="E794" s="12"/>
      <c r="F794" s="13"/>
      <c r="I794" s="12"/>
    </row>
    <row r="795" ht="15.75" customHeight="1">
      <c r="A795" s="14"/>
      <c r="D795" s="11"/>
      <c r="E795" s="12"/>
      <c r="F795" s="13"/>
      <c r="I795" s="12"/>
    </row>
    <row r="796" ht="15.75" customHeight="1">
      <c r="A796" s="14"/>
      <c r="D796" s="11"/>
      <c r="E796" s="12"/>
      <c r="F796" s="13"/>
      <c r="I796" s="12"/>
    </row>
    <row r="797" ht="15.75" customHeight="1">
      <c r="A797" s="14"/>
      <c r="D797" s="11"/>
      <c r="E797" s="12"/>
      <c r="F797" s="13"/>
      <c r="I797" s="12"/>
    </row>
    <row r="798" ht="15.75" customHeight="1">
      <c r="A798" s="14"/>
      <c r="D798" s="11"/>
      <c r="E798" s="12"/>
      <c r="F798" s="13"/>
      <c r="I798" s="12"/>
    </row>
    <row r="799" ht="15.75" customHeight="1">
      <c r="A799" s="14"/>
      <c r="D799" s="11"/>
      <c r="E799" s="12"/>
      <c r="F799" s="13"/>
      <c r="I799" s="12"/>
    </row>
    <row r="800" ht="15.75" customHeight="1">
      <c r="A800" s="14"/>
      <c r="D800" s="11"/>
      <c r="E800" s="12"/>
      <c r="F800" s="13"/>
      <c r="I800" s="12"/>
    </row>
    <row r="801" ht="15.75" customHeight="1">
      <c r="A801" s="14"/>
      <c r="D801" s="11"/>
      <c r="E801" s="12"/>
      <c r="F801" s="13"/>
      <c r="I801" s="12"/>
    </row>
    <row r="802" ht="15.75" customHeight="1">
      <c r="A802" s="14"/>
      <c r="D802" s="11"/>
      <c r="E802" s="12"/>
      <c r="F802" s="13"/>
      <c r="I802" s="12"/>
    </row>
    <row r="803" ht="15.75" customHeight="1">
      <c r="A803" s="14"/>
      <c r="D803" s="11"/>
      <c r="E803" s="12"/>
      <c r="F803" s="13"/>
      <c r="I803" s="12"/>
    </row>
    <row r="804" ht="15.75" customHeight="1">
      <c r="A804" s="14"/>
      <c r="D804" s="11"/>
      <c r="E804" s="12"/>
      <c r="F804" s="13"/>
      <c r="I804" s="12"/>
    </row>
    <row r="805" ht="15.75" customHeight="1">
      <c r="A805" s="14"/>
      <c r="D805" s="11"/>
      <c r="E805" s="12"/>
      <c r="F805" s="13"/>
      <c r="I805" s="12"/>
    </row>
    <row r="806" ht="15.75" customHeight="1">
      <c r="A806" s="14"/>
      <c r="D806" s="11"/>
      <c r="E806" s="12"/>
      <c r="F806" s="13"/>
      <c r="I806" s="12"/>
    </row>
    <row r="807" ht="15.75" customHeight="1">
      <c r="A807" s="14"/>
      <c r="D807" s="11"/>
      <c r="E807" s="12"/>
      <c r="F807" s="13"/>
      <c r="I807" s="12"/>
    </row>
    <row r="808" ht="15.75" customHeight="1">
      <c r="A808" s="14"/>
      <c r="D808" s="11"/>
      <c r="E808" s="12"/>
      <c r="F808" s="13"/>
      <c r="I808" s="12"/>
    </row>
    <row r="809" ht="15.75" customHeight="1">
      <c r="A809" s="14"/>
      <c r="D809" s="11"/>
      <c r="E809" s="12"/>
      <c r="F809" s="13"/>
      <c r="I809" s="12"/>
    </row>
    <row r="810" ht="15.75" customHeight="1">
      <c r="A810" s="14"/>
      <c r="D810" s="11"/>
      <c r="E810" s="12"/>
      <c r="F810" s="13"/>
      <c r="I810" s="12"/>
    </row>
    <row r="811" ht="15.75" customHeight="1">
      <c r="A811" s="14"/>
      <c r="D811" s="11"/>
      <c r="E811" s="12"/>
      <c r="F811" s="13"/>
      <c r="I811" s="12"/>
    </row>
    <row r="812" ht="15.75" customHeight="1">
      <c r="A812" s="14"/>
      <c r="D812" s="11"/>
      <c r="E812" s="12"/>
      <c r="F812" s="13"/>
      <c r="I812" s="12"/>
    </row>
    <row r="813" ht="15.75" customHeight="1">
      <c r="A813" s="14"/>
      <c r="D813" s="11"/>
      <c r="E813" s="12"/>
      <c r="F813" s="13"/>
      <c r="I813" s="12"/>
    </row>
    <row r="814" ht="15.75" customHeight="1">
      <c r="A814" s="14"/>
      <c r="D814" s="11"/>
      <c r="E814" s="12"/>
      <c r="F814" s="13"/>
      <c r="I814" s="12"/>
    </row>
    <row r="815" ht="15.75" customHeight="1">
      <c r="A815" s="14"/>
      <c r="D815" s="11"/>
      <c r="E815" s="12"/>
      <c r="F815" s="13"/>
      <c r="I815" s="12"/>
    </row>
    <row r="816" ht="15.75" customHeight="1">
      <c r="A816" s="14"/>
      <c r="D816" s="11"/>
      <c r="E816" s="12"/>
      <c r="F816" s="13"/>
      <c r="I816" s="12"/>
    </row>
    <row r="817" ht="15.75" customHeight="1">
      <c r="A817" s="14"/>
      <c r="D817" s="11"/>
      <c r="E817" s="12"/>
      <c r="F817" s="13"/>
      <c r="I817" s="12"/>
    </row>
    <row r="818" ht="15.75" customHeight="1">
      <c r="A818" s="14"/>
      <c r="D818" s="11"/>
      <c r="E818" s="12"/>
      <c r="F818" s="13"/>
      <c r="I818" s="12"/>
    </row>
    <row r="819" ht="15.75" customHeight="1">
      <c r="A819" s="14"/>
      <c r="D819" s="11"/>
      <c r="E819" s="12"/>
      <c r="F819" s="13"/>
      <c r="I819" s="12"/>
    </row>
    <row r="820" ht="15.75" customHeight="1">
      <c r="A820" s="14"/>
      <c r="D820" s="11"/>
      <c r="E820" s="12"/>
      <c r="F820" s="13"/>
      <c r="I820" s="12"/>
    </row>
    <row r="821" ht="15.75" customHeight="1">
      <c r="A821" s="14"/>
      <c r="D821" s="11"/>
      <c r="E821" s="12"/>
      <c r="F821" s="13"/>
      <c r="I821" s="12"/>
    </row>
    <row r="822" ht="15.75" customHeight="1">
      <c r="A822" s="14"/>
      <c r="D822" s="11"/>
      <c r="E822" s="12"/>
      <c r="F822" s="13"/>
      <c r="I822" s="12"/>
    </row>
    <row r="823" ht="15.75" customHeight="1">
      <c r="A823" s="14"/>
      <c r="D823" s="11"/>
      <c r="E823" s="12"/>
      <c r="F823" s="13"/>
      <c r="I823" s="12"/>
    </row>
    <row r="824" ht="15.75" customHeight="1">
      <c r="A824" s="14"/>
      <c r="D824" s="11"/>
      <c r="E824" s="12"/>
      <c r="F824" s="13"/>
      <c r="I824" s="12"/>
    </row>
    <row r="825" ht="15.75" customHeight="1">
      <c r="A825" s="14"/>
      <c r="D825" s="11"/>
      <c r="E825" s="12"/>
      <c r="F825" s="13"/>
      <c r="I825" s="12"/>
    </row>
    <row r="826" ht="15.75" customHeight="1">
      <c r="A826" s="14"/>
      <c r="D826" s="11"/>
      <c r="E826" s="12"/>
      <c r="F826" s="13"/>
      <c r="I826" s="12"/>
    </row>
    <row r="827" ht="15.75" customHeight="1">
      <c r="A827" s="14"/>
      <c r="D827" s="11"/>
      <c r="E827" s="12"/>
      <c r="F827" s="13"/>
      <c r="I827" s="12"/>
    </row>
    <row r="828" ht="15.75" customHeight="1">
      <c r="A828" s="14"/>
      <c r="D828" s="11"/>
      <c r="E828" s="12"/>
      <c r="F828" s="13"/>
      <c r="I828" s="12"/>
    </row>
    <row r="829" ht="15.75" customHeight="1">
      <c r="A829" s="14"/>
      <c r="D829" s="11"/>
      <c r="E829" s="12"/>
      <c r="F829" s="13"/>
      <c r="I829" s="12"/>
    </row>
    <row r="830" ht="15.75" customHeight="1">
      <c r="A830" s="14"/>
      <c r="D830" s="11"/>
      <c r="E830" s="12"/>
      <c r="F830" s="13"/>
      <c r="I830" s="12"/>
    </row>
    <row r="831" ht="15.75" customHeight="1">
      <c r="A831" s="14"/>
      <c r="D831" s="11"/>
      <c r="E831" s="12"/>
      <c r="F831" s="13"/>
      <c r="I831" s="12"/>
    </row>
    <row r="832" ht="15.75" customHeight="1">
      <c r="A832" s="14"/>
      <c r="D832" s="11"/>
      <c r="E832" s="12"/>
      <c r="F832" s="13"/>
      <c r="I832" s="12"/>
    </row>
    <row r="833" ht="15.75" customHeight="1">
      <c r="A833" s="14"/>
      <c r="D833" s="11"/>
      <c r="E833" s="12"/>
      <c r="F833" s="13"/>
      <c r="I833" s="12"/>
    </row>
    <row r="834" ht="15.75" customHeight="1">
      <c r="A834" s="14"/>
      <c r="D834" s="11"/>
      <c r="E834" s="12"/>
      <c r="F834" s="13"/>
      <c r="I834" s="12"/>
    </row>
    <row r="835" ht="15.75" customHeight="1">
      <c r="A835" s="14"/>
      <c r="D835" s="11"/>
      <c r="E835" s="12"/>
      <c r="F835" s="13"/>
      <c r="I835" s="12"/>
    </row>
    <row r="836" ht="15.75" customHeight="1">
      <c r="A836" s="14"/>
      <c r="D836" s="11"/>
      <c r="E836" s="12"/>
      <c r="F836" s="13"/>
      <c r="I836" s="12"/>
    </row>
    <row r="837" ht="15.75" customHeight="1">
      <c r="A837" s="14"/>
      <c r="D837" s="11"/>
      <c r="E837" s="12"/>
      <c r="F837" s="13"/>
      <c r="I837" s="12"/>
    </row>
    <row r="838" ht="15.75" customHeight="1">
      <c r="A838" s="14"/>
      <c r="D838" s="11"/>
      <c r="E838" s="12"/>
      <c r="F838" s="13"/>
      <c r="I838" s="12"/>
    </row>
    <row r="839" ht="15.75" customHeight="1">
      <c r="A839" s="14"/>
      <c r="D839" s="11"/>
      <c r="E839" s="12"/>
      <c r="F839" s="13"/>
      <c r="I839" s="12"/>
    </row>
    <row r="840" ht="15.75" customHeight="1">
      <c r="A840" s="14"/>
      <c r="D840" s="11"/>
      <c r="E840" s="12"/>
      <c r="F840" s="13"/>
      <c r="I840" s="12"/>
    </row>
    <row r="841" ht="15.75" customHeight="1">
      <c r="A841" s="14"/>
      <c r="D841" s="11"/>
      <c r="E841" s="12"/>
      <c r="F841" s="13"/>
      <c r="I841" s="12"/>
    </row>
    <row r="842" ht="15.75" customHeight="1">
      <c r="A842" s="14"/>
      <c r="D842" s="11"/>
      <c r="E842" s="12"/>
      <c r="F842" s="13"/>
      <c r="I842" s="12"/>
    </row>
    <row r="843" ht="15.75" customHeight="1">
      <c r="A843" s="14"/>
      <c r="D843" s="11"/>
      <c r="E843" s="12"/>
      <c r="F843" s="13"/>
      <c r="I843" s="12"/>
    </row>
    <row r="844" ht="15.75" customHeight="1">
      <c r="A844" s="14"/>
      <c r="D844" s="11"/>
      <c r="E844" s="12"/>
      <c r="F844" s="13"/>
      <c r="I844" s="12"/>
    </row>
    <row r="845" ht="15.75" customHeight="1">
      <c r="A845" s="14"/>
      <c r="D845" s="11"/>
      <c r="E845" s="12"/>
      <c r="F845" s="13"/>
      <c r="I845" s="12"/>
    </row>
    <row r="846" ht="15.75" customHeight="1">
      <c r="A846" s="14"/>
      <c r="D846" s="11"/>
      <c r="E846" s="12"/>
      <c r="F846" s="13"/>
      <c r="I846" s="12"/>
    </row>
    <row r="847" ht="15.75" customHeight="1">
      <c r="A847" s="14"/>
      <c r="D847" s="11"/>
      <c r="E847" s="12"/>
      <c r="F847" s="13"/>
      <c r="I847" s="12"/>
    </row>
    <row r="848" ht="15.75" customHeight="1">
      <c r="A848" s="14"/>
      <c r="D848" s="11"/>
      <c r="E848" s="12"/>
      <c r="F848" s="13"/>
      <c r="I848" s="12"/>
    </row>
    <row r="849" ht="15.75" customHeight="1">
      <c r="A849" s="14"/>
      <c r="D849" s="11"/>
      <c r="E849" s="12"/>
      <c r="F849" s="13"/>
      <c r="I849" s="12"/>
    </row>
    <row r="850" ht="15.75" customHeight="1">
      <c r="A850" s="14"/>
      <c r="D850" s="11"/>
      <c r="E850" s="12"/>
      <c r="F850" s="13"/>
      <c r="I850" s="12"/>
    </row>
    <row r="851" ht="15.75" customHeight="1">
      <c r="A851" s="14"/>
      <c r="D851" s="11"/>
      <c r="E851" s="12"/>
      <c r="F851" s="13"/>
      <c r="I851" s="12"/>
    </row>
    <row r="852" ht="15.75" customHeight="1">
      <c r="A852" s="14"/>
      <c r="D852" s="11"/>
      <c r="E852" s="12"/>
      <c r="F852" s="13"/>
      <c r="I852" s="12"/>
    </row>
    <row r="853" ht="15.75" customHeight="1">
      <c r="A853" s="14"/>
      <c r="D853" s="11"/>
      <c r="E853" s="12"/>
      <c r="F853" s="13"/>
      <c r="I853" s="12"/>
    </row>
    <row r="854" ht="15.75" customHeight="1">
      <c r="A854" s="14"/>
      <c r="D854" s="11"/>
      <c r="E854" s="12"/>
      <c r="F854" s="13"/>
      <c r="I854" s="12"/>
    </row>
    <row r="855" ht="15.75" customHeight="1">
      <c r="A855" s="14"/>
      <c r="D855" s="11"/>
      <c r="E855" s="12"/>
      <c r="F855" s="13"/>
      <c r="I855" s="12"/>
    </row>
    <row r="856" ht="15.75" customHeight="1">
      <c r="A856" s="14"/>
      <c r="D856" s="11"/>
      <c r="E856" s="12"/>
      <c r="F856" s="13"/>
      <c r="I856" s="12"/>
    </row>
    <row r="857" ht="15.75" customHeight="1">
      <c r="A857" s="14"/>
      <c r="D857" s="11"/>
      <c r="E857" s="12"/>
      <c r="F857" s="13"/>
      <c r="I857" s="12"/>
    </row>
    <row r="858" ht="15.75" customHeight="1">
      <c r="A858" s="14"/>
      <c r="D858" s="11"/>
      <c r="E858" s="12"/>
      <c r="F858" s="13"/>
      <c r="I858" s="12"/>
    </row>
    <row r="859" ht="15.75" customHeight="1">
      <c r="A859" s="14"/>
      <c r="D859" s="11"/>
      <c r="E859" s="12"/>
      <c r="F859" s="13"/>
      <c r="I859" s="12"/>
    </row>
    <row r="860" ht="15.75" customHeight="1">
      <c r="A860" s="14"/>
      <c r="D860" s="11"/>
      <c r="E860" s="12"/>
      <c r="F860" s="13"/>
      <c r="I860" s="12"/>
    </row>
    <row r="861" ht="15.75" customHeight="1">
      <c r="A861" s="14"/>
      <c r="D861" s="11"/>
      <c r="E861" s="12"/>
      <c r="F861" s="13"/>
      <c r="I861" s="12"/>
    </row>
    <row r="862" ht="15.75" customHeight="1">
      <c r="A862" s="14"/>
      <c r="D862" s="11"/>
      <c r="E862" s="12"/>
      <c r="F862" s="13"/>
      <c r="I862" s="12"/>
    </row>
    <row r="863" ht="15.75" customHeight="1">
      <c r="A863" s="14"/>
      <c r="D863" s="11"/>
      <c r="E863" s="12"/>
      <c r="F863" s="13"/>
      <c r="I863" s="12"/>
    </row>
    <row r="864" ht="15.75" customHeight="1">
      <c r="A864" s="14"/>
      <c r="D864" s="11"/>
      <c r="E864" s="12"/>
      <c r="F864" s="13"/>
      <c r="I864" s="12"/>
    </row>
    <row r="865" ht="15.75" customHeight="1">
      <c r="A865" s="14"/>
      <c r="D865" s="11"/>
      <c r="E865" s="12"/>
      <c r="F865" s="13"/>
      <c r="I865" s="12"/>
    </row>
    <row r="866" ht="15.75" customHeight="1">
      <c r="A866" s="14"/>
      <c r="D866" s="11"/>
      <c r="E866" s="12"/>
      <c r="F866" s="13"/>
      <c r="I866" s="12"/>
    </row>
    <row r="867" ht="15.75" customHeight="1">
      <c r="A867" s="14"/>
      <c r="D867" s="11"/>
      <c r="E867" s="12"/>
      <c r="F867" s="13"/>
      <c r="I867" s="12"/>
    </row>
    <row r="868" ht="15.75" customHeight="1">
      <c r="A868" s="14"/>
      <c r="D868" s="11"/>
      <c r="E868" s="12"/>
      <c r="F868" s="13"/>
      <c r="I868" s="12"/>
    </row>
    <row r="869" ht="15.75" customHeight="1">
      <c r="A869" s="14"/>
      <c r="D869" s="11"/>
      <c r="E869" s="12"/>
      <c r="F869" s="13"/>
      <c r="I869" s="12"/>
    </row>
    <row r="870" ht="15.75" customHeight="1">
      <c r="A870" s="14"/>
      <c r="D870" s="11"/>
      <c r="E870" s="12"/>
      <c r="F870" s="13"/>
      <c r="I870" s="12"/>
    </row>
    <row r="871" ht="15.75" customHeight="1">
      <c r="A871" s="14"/>
      <c r="D871" s="11"/>
      <c r="E871" s="12"/>
      <c r="F871" s="13"/>
      <c r="I871" s="12"/>
    </row>
    <row r="872" ht="15.75" customHeight="1">
      <c r="A872" s="14"/>
      <c r="D872" s="11"/>
      <c r="E872" s="12"/>
      <c r="F872" s="13"/>
      <c r="I872" s="12"/>
    </row>
    <row r="873" ht="15.75" customHeight="1">
      <c r="A873" s="14"/>
      <c r="D873" s="11"/>
      <c r="E873" s="12"/>
      <c r="F873" s="13"/>
      <c r="I873" s="12"/>
    </row>
    <row r="874" ht="15.75" customHeight="1">
      <c r="A874" s="14"/>
      <c r="D874" s="11"/>
      <c r="E874" s="12"/>
      <c r="F874" s="13"/>
      <c r="I874" s="12"/>
    </row>
    <row r="875" ht="15.75" customHeight="1">
      <c r="A875" s="14"/>
      <c r="D875" s="11"/>
      <c r="E875" s="12"/>
      <c r="F875" s="13"/>
      <c r="I875" s="12"/>
    </row>
    <row r="876" ht="15.75" customHeight="1">
      <c r="A876" s="14"/>
      <c r="D876" s="11"/>
      <c r="E876" s="12"/>
      <c r="F876" s="13"/>
      <c r="I876" s="12"/>
    </row>
    <row r="877" ht="15.75" customHeight="1">
      <c r="A877" s="14"/>
      <c r="D877" s="11"/>
      <c r="E877" s="12"/>
      <c r="F877" s="13"/>
      <c r="I877" s="12"/>
    </row>
    <row r="878" ht="15.75" customHeight="1">
      <c r="A878" s="14"/>
      <c r="D878" s="11"/>
      <c r="E878" s="12"/>
      <c r="F878" s="13"/>
      <c r="I878" s="12"/>
    </row>
    <row r="879" ht="15.75" customHeight="1">
      <c r="A879" s="14"/>
      <c r="D879" s="11"/>
      <c r="E879" s="12"/>
      <c r="F879" s="13"/>
      <c r="I879" s="12"/>
    </row>
    <row r="880" ht="15.75" customHeight="1">
      <c r="A880" s="14"/>
      <c r="D880" s="11"/>
      <c r="E880" s="12"/>
      <c r="F880" s="13"/>
      <c r="I880" s="12"/>
    </row>
    <row r="881" ht="15.75" customHeight="1">
      <c r="A881" s="14"/>
      <c r="D881" s="11"/>
      <c r="E881" s="12"/>
      <c r="F881" s="13"/>
      <c r="I881" s="12"/>
    </row>
    <row r="882" ht="15.75" customHeight="1">
      <c r="A882" s="14"/>
      <c r="D882" s="11"/>
      <c r="E882" s="12"/>
      <c r="F882" s="13"/>
      <c r="I882" s="12"/>
    </row>
    <row r="883" ht="15.75" customHeight="1">
      <c r="A883" s="14"/>
      <c r="D883" s="11"/>
      <c r="E883" s="12"/>
      <c r="F883" s="13"/>
      <c r="I883" s="12"/>
    </row>
    <row r="884" ht="15.75" customHeight="1">
      <c r="A884" s="14"/>
      <c r="D884" s="11"/>
      <c r="E884" s="12"/>
      <c r="F884" s="13"/>
      <c r="I884" s="12"/>
    </row>
    <row r="885" ht="15.75" customHeight="1">
      <c r="A885" s="14"/>
      <c r="D885" s="11"/>
      <c r="E885" s="12"/>
      <c r="F885" s="13"/>
      <c r="I885" s="12"/>
    </row>
    <row r="886" ht="15.75" customHeight="1">
      <c r="A886" s="14"/>
      <c r="D886" s="11"/>
      <c r="E886" s="12"/>
      <c r="F886" s="13"/>
      <c r="I886" s="12"/>
    </row>
    <row r="887" ht="15.75" customHeight="1">
      <c r="A887" s="14"/>
      <c r="D887" s="11"/>
      <c r="E887" s="12"/>
      <c r="F887" s="13"/>
      <c r="I887" s="12"/>
    </row>
    <row r="888" ht="15.75" customHeight="1">
      <c r="A888" s="14"/>
      <c r="D888" s="11"/>
      <c r="E888" s="12"/>
      <c r="F888" s="13"/>
      <c r="I888" s="12"/>
    </row>
    <row r="889" ht="15.75" customHeight="1">
      <c r="A889" s="14"/>
      <c r="D889" s="11"/>
      <c r="E889" s="12"/>
      <c r="F889" s="13"/>
      <c r="I889" s="12"/>
    </row>
    <row r="890" ht="15.75" customHeight="1">
      <c r="A890" s="14"/>
      <c r="D890" s="11"/>
      <c r="E890" s="12"/>
      <c r="F890" s="13"/>
      <c r="I890" s="12"/>
    </row>
    <row r="891" ht="15.75" customHeight="1">
      <c r="A891" s="14"/>
      <c r="D891" s="11"/>
      <c r="E891" s="12"/>
      <c r="F891" s="13"/>
      <c r="I891" s="12"/>
    </row>
    <row r="892" ht="15.75" customHeight="1">
      <c r="A892" s="14"/>
      <c r="D892" s="11"/>
      <c r="E892" s="12"/>
      <c r="F892" s="13"/>
      <c r="I892" s="12"/>
    </row>
    <row r="893" ht="15.75" customHeight="1">
      <c r="A893" s="14"/>
      <c r="D893" s="11"/>
      <c r="E893" s="12"/>
      <c r="F893" s="13"/>
      <c r="I893" s="12"/>
    </row>
    <row r="894" ht="15.75" customHeight="1">
      <c r="A894" s="14"/>
      <c r="D894" s="11"/>
      <c r="E894" s="12"/>
      <c r="F894" s="13"/>
      <c r="I894" s="12"/>
    </row>
    <row r="895" ht="15.75" customHeight="1">
      <c r="A895" s="14"/>
      <c r="D895" s="11"/>
      <c r="E895" s="12"/>
      <c r="F895" s="13"/>
      <c r="I895" s="12"/>
    </row>
    <row r="896" ht="15.75" customHeight="1">
      <c r="A896" s="14"/>
      <c r="D896" s="11"/>
      <c r="E896" s="12"/>
      <c r="F896" s="13"/>
      <c r="I896" s="12"/>
    </row>
    <row r="897" ht="15.75" customHeight="1">
      <c r="A897" s="14"/>
      <c r="D897" s="11"/>
      <c r="E897" s="12"/>
      <c r="F897" s="13"/>
      <c r="I897" s="12"/>
    </row>
    <row r="898" ht="15.75" customHeight="1">
      <c r="A898" s="14"/>
      <c r="D898" s="11"/>
      <c r="E898" s="12"/>
      <c r="F898" s="13"/>
      <c r="I898" s="12"/>
    </row>
    <row r="899" ht="15.75" customHeight="1">
      <c r="A899" s="14"/>
      <c r="D899" s="11"/>
      <c r="E899" s="12"/>
      <c r="F899" s="13"/>
      <c r="I899" s="12"/>
    </row>
    <row r="900" ht="15.75" customHeight="1">
      <c r="A900" s="14"/>
      <c r="D900" s="11"/>
      <c r="E900" s="12"/>
      <c r="F900" s="13"/>
      <c r="I900" s="12"/>
    </row>
    <row r="901" ht="15.75" customHeight="1">
      <c r="A901" s="14"/>
      <c r="D901" s="11"/>
      <c r="E901" s="12"/>
      <c r="F901" s="13"/>
      <c r="I901" s="12"/>
    </row>
    <row r="902" ht="15.75" customHeight="1">
      <c r="A902" s="14"/>
      <c r="D902" s="11"/>
      <c r="E902" s="12"/>
      <c r="F902" s="13"/>
      <c r="I902" s="12"/>
    </row>
    <row r="903" ht="15.75" customHeight="1">
      <c r="A903" s="14"/>
      <c r="D903" s="11"/>
      <c r="E903" s="12"/>
      <c r="F903" s="13"/>
      <c r="I903" s="12"/>
    </row>
    <row r="904" ht="15.75" customHeight="1">
      <c r="A904" s="14"/>
      <c r="D904" s="11"/>
      <c r="E904" s="12"/>
      <c r="F904" s="13"/>
      <c r="I904" s="12"/>
    </row>
    <row r="905" ht="15.75" customHeight="1">
      <c r="A905" s="14"/>
      <c r="D905" s="11"/>
      <c r="E905" s="12"/>
      <c r="F905" s="13"/>
      <c r="I905" s="12"/>
    </row>
    <row r="906" ht="15.75" customHeight="1">
      <c r="A906" s="14"/>
      <c r="D906" s="11"/>
      <c r="E906" s="12"/>
      <c r="F906" s="13"/>
      <c r="I906" s="12"/>
    </row>
    <row r="907" ht="15.75" customHeight="1">
      <c r="A907" s="14"/>
      <c r="D907" s="11"/>
      <c r="E907" s="12"/>
      <c r="F907" s="13"/>
      <c r="I907" s="12"/>
    </row>
    <row r="908" ht="15.75" customHeight="1">
      <c r="A908" s="14"/>
      <c r="D908" s="11"/>
      <c r="E908" s="12"/>
      <c r="F908" s="13"/>
      <c r="I908" s="12"/>
    </row>
    <row r="909" ht="15.75" customHeight="1">
      <c r="A909" s="14"/>
      <c r="D909" s="11"/>
      <c r="E909" s="12"/>
      <c r="F909" s="13"/>
      <c r="I909" s="12"/>
    </row>
    <row r="910" ht="15.75" customHeight="1">
      <c r="A910" s="14"/>
      <c r="D910" s="11"/>
      <c r="E910" s="12"/>
      <c r="F910" s="13"/>
      <c r="I910" s="12"/>
    </row>
    <row r="911" ht="15.75" customHeight="1">
      <c r="A911" s="14"/>
      <c r="D911" s="11"/>
      <c r="E911" s="12"/>
      <c r="F911" s="13"/>
      <c r="I911" s="12"/>
    </row>
    <row r="912" ht="15.75" customHeight="1">
      <c r="A912" s="14"/>
      <c r="D912" s="11"/>
      <c r="E912" s="12"/>
      <c r="F912" s="13"/>
      <c r="I912" s="12"/>
    </row>
    <row r="913" ht="15.75" customHeight="1">
      <c r="A913" s="14"/>
      <c r="D913" s="11"/>
      <c r="E913" s="12"/>
      <c r="F913" s="13"/>
      <c r="I913" s="12"/>
    </row>
    <row r="914" ht="15.75" customHeight="1">
      <c r="A914" s="14"/>
      <c r="D914" s="11"/>
      <c r="E914" s="12"/>
      <c r="F914" s="13"/>
      <c r="I914" s="12"/>
    </row>
    <row r="915" ht="15.75" customHeight="1">
      <c r="A915" s="14"/>
      <c r="D915" s="11"/>
      <c r="E915" s="12"/>
      <c r="F915" s="13"/>
      <c r="I915" s="12"/>
    </row>
    <row r="916" ht="15.75" customHeight="1">
      <c r="A916" s="14"/>
      <c r="D916" s="11"/>
      <c r="E916" s="12"/>
      <c r="F916" s="13"/>
      <c r="I916" s="12"/>
    </row>
    <row r="917" ht="15.75" customHeight="1">
      <c r="A917" s="14"/>
      <c r="D917" s="11"/>
      <c r="E917" s="12"/>
      <c r="F917" s="13"/>
      <c r="I917" s="12"/>
    </row>
    <row r="918" ht="15.75" customHeight="1">
      <c r="A918" s="14"/>
      <c r="D918" s="11"/>
      <c r="E918" s="12"/>
      <c r="F918" s="13"/>
      <c r="I918" s="12"/>
    </row>
    <row r="919" ht="15.75" customHeight="1">
      <c r="A919" s="14"/>
      <c r="D919" s="11"/>
      <c r="E919" s="12"/>
      <c r="F919" s="13"/>
      <c r="I919" s="12"/>
    </row>
    <row r="920" ht="15.75" customHeight="1">
      <c r="A920" s="14"/>
      <c r="D920" s="11"/>
      <c r="E920" s="12"/>
      <c r="F920" s="13"/>
      <c r="I920" s="12"/>
    </row>
    <row r="921" ht="15.75" customHeight="1">
      <c r="A921" s="14"/>
      <c r="D921" s="11"/>
      <c r="E921" s="12"/>
      <c r="F921" s="13"/>
      <c r="I921" s="12"/>
    </row>
    <row r="922" ht="15.75" customHeight="1">
      <c r="A922" s="14"/>
      <c r="D922" s="11"/>
      <c r="E922" s="12"/>
      <c r="F922" s="13"/>
      <c r="I922" s="12"/>
    </row>
    <row r="923" ht="15.75" customHeight="1">
      <c r="A923" s="14"/>
      <c r="D923" s="11"/>
      <c r="E923" s="12"/>
      <c r="F923" s="13"/>
      <c r="I923" s="12"/>
    </row>
    <row r="924" ht="15.75" customHeight="1">
      <c r="A924" s="14"/>
      <c r="D924" s="11"/>
      <c r="E924" s="12"/>
      <c r="F924" s="13"/>
      <c r="I924" s="12"/>
    </row>
    <row r="925" ht="15.75" customHeight="1">
      <c r="A925" s="14"/>
      <c r="D925" s="11"/>
      <c r="E925" s="12"/>
      <c r="F925" s="13"/>
      <c r="I925" s="12"/>
    </row>
    <row r="926" ht="15.75" customHeight="1">
      <c r="A926" s="14"/>
      <c r="D926" s="11"/>
      <c r="E926" s="12"/>
      <c r="F926" s="13"/>
      <c r="I926" s="12"/>
    </row>
    <row r="927" ht="15.75" customHeight="1">
      <c r="A927" s="14"/>
      <c r="D927" s="11"/>
      <c r="E927" s="12"/>
      <c r="F927" s="13"/>
      <c r="I927" s="12"/>
    </row>
    <row r="928" ht="15.75" customHeight="1">
      <c r="A928" s="14"/>
      <c r="D928" s="11"/>
      <c r="E928" s="12"/>
      <c r="F928" s="13"/>
      <c r="I928" s="12"/>
    </row>
    <row r="929" ht="15.75" customHeight="1">
      <c r="A929" s="14"/>
      <c r="D929" s="11"/>
      <c r="E929" s="12"/>
      <c r="F929" s="13"/>
      <c r="I929" s="12"/>
    </row>
    <row r="930" ht="15.75" customHeight="1">
      <c r="A930" s="14"/>
      <c r="D930" s="11"/>
      <c r="E930" s="12"/>
      <c r="F930" s="13"/>
      <c r="I930" s="12"/>
    </row>
    <row r="931" ht="15.75" customHeight="1">
      <c r="A931" s="14"/>
      <c r="D931" s="11"/>
      <c r="E931" s="12"/>
      <c r="F931" s="13"/>
      <c r="I931" s="12"/>
    </row>
    <row r="932" ht="15.75" customHeight="1">
      <c r="A932" s="14"/>
      <c r="D932" s="11"/>
      <c r="E932" s="12"/>
      <c r="F932" s="13"/>
      <c r="I932" s="12"/>
    </row>
    <row r="933" ht="15.75" customHeight="1">
      <c r="A933" s="14"/>
      <c r="D933" s="11"/>
      <c r="E933" s="12"/>
      <c r="F933" s="13"/>
      <c r="I933" s="12"/>
    </row>
    <row r="934" ht="15.75" customHeight="1">
      <c r="A934" s="14"/>
      <c r="D934" s="11"/>
      <c r="E934" s="12"/>
      <c r="F934" s="13"/>
      <c r="I934" s="12"/>
    </row>
    <row r="935" ht="15.75" customHeight="1">
      <c r="A935" s="14"/>
      <c r="D935" s="11"/>
      <c r="E935" s="12"/>
      <c r="F935" s="13"/>
      <c r="I935" s="12"/>
    </row>
    <row r="936" ht="15.75" customHeight="1">
      <c r="A936" s="14"/>
      <c r="D936" s="11"/>
      <c r="E936" s="12"/>
      <c r="F936" s="13"/>
      <c r="I936" s="12"/>
    </row>
    <row r="937" ht="15.75" customHeight="1">
      <c r="A937" s="14"/>
      <c r="D937" s="11"/>
      <c r="E937" s="12"/>
      <c r="F937" s="13"/>
      <c r="I937" s="12"/>
    </row>
    <row r="938" ht="15.75" customHeight="1">
      <c r="A938" s="14"/>
      <c r="D938" s="11"/>
      <c r="E938" s="12"/>
      <c r="F938" s="13"/>
      <c r="I938" s="12"/>
    </row>
    <row r="939" ht="15.75" customHeight="1">
      <c r="A939" s="14"/>
      <c r="D939" s="11"/>
      <c r="E939" s="12"/>
      <c r="F939" s="13"/>
      <c r="I939" s="12"/>
    </row>
    <row r="940" ht="15.75" customHeight="1">
      <c r="A940" s="14"/>
      <c r="D940" s="11"/>
      <c r="E940" s="12"/>
      <c r="F940" s="13"/>
      <c r="I940" s="12"/>
    </row>
    <row r="941" ht="15.75" customHeight="1">
      <c r="A941" s="14"/>
      <c r="D941" s="11"/>
      <c r="E941" s="12"/>
      <c r="F941" s="13"/>
      <c r="I941" s="12"/>
    </row>
    <row r="942" ht="15.75" customHeight="1">
      <c r="A942" s="14"/>
      <c r="D942" s="11"/>
      <c r="E942" s="12"/>
      <c r="F942" s="13"/>
      <c r="I942" s="12"/>
    </row>
    <row r="943" ht="15.75" customHeight="1">
      <c r="A943" s="14"/>
      <c r="D943" s="11"/>
      <c r="E943" s="12"/>
      <c r="F943" s="13"/>
      <c r="I943" s="12"/>
    </row>
    <row r="944" ht="15.75" customHeight="1">
      <c r="A944" s="14"/>
      <c r="D944" s="11"/>
      <c r="E944" s="12"/>
      <c r="F944" s="13"/>
      <c r="I944" s="12"/>
    </row>
    <row r="945" ht="15.75" customHeight="1">
      <c r="A945" s="14"/>
      <c r="D945" s="11"/>
      <c r="E945" s="12"/>
      <c r="F945" s="13"/>
      <c r="I945" s="12"/>
    </row>
    <row r="946" ht="15.75" customHeight="1">
      <c r="A946" s="14"/>
      <c r="D946" s="11"/>
      <c r="E946" s="12"/>
      <c r="F946" s="13"/>
      <c r="I946" s="12"/>
    </row>
    <row r="947" ht="15.75" customHeight="1">
      <c r="A947" s="14"/>
      <c r="D947" s="11"/>
      <c r="E947" s="12"/>
      <c r="F947" s="13"/>
      <c r="I947" s="12"/>
    </row>
    <row r="948" ht="15.75" customHeight="1">
      <c r="A948" s="14"/>
      <c r="D948" s="11"/>
      <c r="E948" s="12"/>
      <c r="F948" s="13"/>
      <c r="I948" s="12"/>
    </row>
    <row r="949" ht="15.75" customHeight="1">
      <c r="A949" s="14"/>
      <c r="D949" s="11"/>
      <c r="E949" s="12"/>
      <c r="F949" s="13"/>
      <c r="I949" s="12"/>
    </row>
    <row r="950" ht="15.75" customHeight="1">
      <c r="A950" s="14"/>
      <c r="D950" s="11"/>
      <c r="E950" s="12"/>
      <c r="F950" s="13"/>
      <c r="I950" s="12"/>
    </row>
    <row r="951" ht="15.75" customHeight="1">
      <c r="A951" s="14"/>
      <c r="D951" s="11"/>
      <c r="E951" s="12"/>
      <c r="F951" s="13"/>
      <c r="I951" s="12"/>
    </row>
    <row r="952" ht="15.75" customHeight="1">
      <c r="A952" s="14"/>
      <c r="D952" s="11"/>
      <c r="E952" s="12"/>
      <c r="F952" s="13"/>
      <c r="I952" s="12"/>
    </row>
    <row r="953" ht="15.75" customHeight="1">
      <c r="A953" s="14"/>
      <c r="D953" s="11"/>
      <c r="E953" s="12"/>
      <c r="F953" s="13"/>
      <c r="I953" s="12"/>
    </row>
    <row r="954" ht="15.75" customHeight="1">
      <c r="A954" s="14"/>
      <c r="D954" s="11"/>
      <c r="E954" s="12"/>
      <c r="F954" s="13"/>
      <c r="I954" s="12"/>
    </row>
    <row r="955" ht="15.75" customHeight="1">
      <c r="A955" s="14"/>
      <c r="D955" s="11"/>
      <c r="E955" s="12"/>
      <c r="F955" s="13"/>
      <c r="I955" s="12"/>
    </row>
    <row r="956" ht="15.75" customHeight="1">
      <c r="A956" s="14"/>
      <c r="D956" s="11"/>
      <c r="E956" s="12"/>
      <c r="F956" s="13"/>
      <c r="I956" s="12"/>
    </row>
    <row r="957" ht="15.75" customHeight="1">
      <c r="A957" s="14"/>
      <c r="D957" s="11"/>
      <c r="E957" s="12"/>
      <c r="F957" s="13"/>
      <c r="I957" s="12"/>
    </row>
    <row r="958" ht="15.75" customHeight="1">
      <c r="A958" s="14"/>
      <c r="D958" s="11"/>
      <c r="E958" s="12"/>
      <c r="F958" s="13"/>
      <c r="I958" s="12"/>
    </row>
    <row r="959" ht="15.75" customHeight="1">
      <c r="A959" s="14"/>
      <c r="D959" s="11"/>
      <c r="E959" s="12"/>
      <c r="F959" s="13"/>
      <c r="I959" s="12"/>
    </row>
    <row r="960" ht="15.75" customHeight="1">
      <c r="A960" s="14"/>
      <c r="D960" s="11"/>
      <c r="E960" s="12"/>
      <c r="F960" s="13"/>
      <c r="I960" s="12"/>
    </row>
    <row r="961" ht="15.75" customHeight="1">
      <c r="A961" s="14"/>
      <c r="D961" s="11"/>
      <c r="E961" s="12"/>
      <c r="F961" s="13"/>
      <c r="I961" s="12"/>
    </row>
    <row r="962" ht="15.75" customHeight="1">
      <c r="A962" s="14"/>
      <c r="D962" s="11"/>
      <c r="E962" s="12"/>
      <c r="F962" s="13"/>
      <c r="I962" s="12"/>
    </row>
    <row r="963" ht="15.75" customHeight="1">
      <c r="A963" s="14"/>
      <c r="D963" s="11"/>
      <c r="E963" s="12"/>
      <c r="F963" s="13"/>
      <c r="I963" s="12"/>
    </row>
    <row r="964" ht="15.75" customHeight="1">
      <c r="A964" s="14"/>
      <c r="D964" s="11"/>
      <c r="E964" s="12"/>
      <c r="F964" s="13"/>
      <c r="I964" s="12"/>
    </row>
    <row r="965" ht="15.75" customHeight="1">
      <c r="A965" s="14"/>
      <c r="D965" s="11"/>
      <c r="E965" s="12"/>
      <c r="F965" s="13"/>
      <c r="I965" s="12"/>
    </row>
    <row r="966" ht="15.75" customHeight="1">
      <c r="A966" s="14"/>
      <c r="D966" s="11"/>
      <c r="E966" s="12"/>
      <c r="F966" s="13"/>
      <c r="I966" s="12"/>
    </row>
    <row r="967" ht="15.75" customHeight="1">
      <c r="A967" s="14"/>
      <c r="D967" s="11"/>
      <c r="E967" s="12"/>
      <c r="F967" s="13"/>
      <c r="I967" s="12"/>
    </row>
    <row r="968" ht="15.75" customHeight="1">
      <c r="A968" s="14"/>
      <c r="D968" s="11"/>
      <c r="E968" s="12"/>
      <c r="F968" s="13"/>
      <c r="I968" s="12"/>
    </row>
    <row r="969" ht="15.75" customHeight="1">
      <c r="A969" s="14"/>
      <c r="D969" s="11"/>
      <c r="E969" s="12"/>
      <c r="F969" s="13"/>
      <c r="I969" s="12"/>
    </row>
    <row r="970" ht="15.75" customHeight="1">
      <c r="A970" s="14"/>
      <c r="D970" s="11"/>
      <c r="E970" s="12"/>
      <c r="F970" s="13"/>
      <c r="I970" s="12"/>
    </row>
    <row r="971" ht="15.75" customHeight="1">
      <c r="A971" s="14"/>
      <c r="D971" s="11"/>
      <c r="E971" s="12"/>
      <c r="F971" s="13"/>
      <c r="I971" s="12"/>
    </row>
    <row r="972" ht="15.75" customHeight="1">
      <c r="A972" s="14"/>
      <c r="D972" s="11"/>
      <c r="E972" s="12"/>
      <c r="F972" s="13"/>
      <c r="I972" s="12"/>
    </row>
    <row r="973" ht="15.75" customHeight="1">
      <c r="A973" s="14"/>
      <c r="D973" s="11"/>
      <c r="E973" s="12"/>
      <c r="F973" s="13"/>
      <c r="I973" s="12"/>
    </row>
    <row r="974" ht="15.75" customHeight="1">
      <c r="A974" s="14"/>
      <c r="D974" s="11"/>
      <c r="E974" s="12"/>
      <c r="F974" s="13"/>
      <c r="I974" s="12"/>
    </row>
    <row r="975" ht="15.75" customHeight="1">
      <c r="A975" s="14"/>
      <c r="D975" s="11"/>
      <c r="E975" s="12"/>
      <c r="F975" s="13"/>
      <c r="I975" s="12"/>
    </row>
    <row r="976" ht="15.75" customHeight="1">
      <c r="A976" s="14"/>
      <c r="D976" s="11"/>
      <c r="E976" s="12"/>
      <c r="F976" s="13"/>
      <c r="I976" s="12"/>
    </row>
    <row r="977" ht="15.75" customHeight="1">
      <c r="A977" s="14"/>
      <c r="D977" s="11"/>
      <c r="E977" s="12"/>
      <c r="F977" s="13"/>
      <c r="I977" s="12"/>
    </row>
    <row r="978" ht="15.75" customHeight="1">
      <c r="A978" s="14"/>
      <c r="D978" s="11"/>
      <c r="E978" s="12"/>
      <c r="F978" s="13"/>
      <c r="I978" s="12"/>
    </row>
    <row r="979" ht="15.75" customHeight="1">
      <c r="A979" s="14"/>
      <c r="D979" s="11"/>
      <c r="E979" s="12"/>
      <c r="F979" s="13"/>
      <c r="I979" s="12"/>
    </row>
    <row r="980" ht="15.75" customHeight="1">
      <c r="A980" s="14"/>
      <c r="D980" s="11"/>
      <c r="E980" s="12"/>
      <c r="F980" s="13"/>
      <c r="I980" s="12"/>
    </row>
    <row r="981" ht="15.75" customHeight="1">
      <c r="A981" s="14"/>
      <c r="D981" s="11"/>
      <c r="E981" s="12"/>
      <c r="F981" s="13"/>
      <c r="I981" s="12"/>
    </row>
    <row r="982" ht="15.75" customHeight="1">
      <c r="A982" s="14"/>
      <c r="D982" s="11"/>
      <c r="E982" s="12"/>
      <c r="F982" s="13"/>
      <c r="I982" s="12"/>
    </row>
    <row r="983" ht="15.75" customHeight="1">
      <c r="A983" s="14"/>
      <c r="D983" s="11"/>
      <c r="E983" s="12"/>
      <c r="F983" s="13"/>
      <c r="I983" s="12"/>
    </row>
    <row r="984" ht="15.75" customHeight="1">
      <c r="A984" s="14"/>
      <c r="D984" s="11"/>
      <c r="E984" s="12"/>
      <c r="F984" s="13"/>
      <c r="I984" s="12"/>
    </row>
    <row r="985" ht="15.75" customHeight="1">
      <c r="A985" s="14"/>
      <c r="D985" s="11"/>
      <c r="E985" s="12"/>
      <c r="F985" s="13"/>
      <c r="I985" s="12"/>
    </row>
    <row r="986" ht="15.75" customHeight="1">
      <c r="A986" s="14"/>
      <c r="D986" s="11"/>
      <c r="E986" s="12"/>
      <c r="F986" s="13"/>
      <c r="I986" s="12"/>
    </row>
    <row r="987" ht="15.75" customHeight="1">
      <c r="A987" s="14"/>
      <c r="D987" s="11"/>
      <c r="E987" s="12"/>
      <c r="F987" s="13"/>
      <c r="I987" s="12"/>
    </row>
    <row r="988" ht="15.75" customHeight="1">
      <c r="A988" s="14"/>
      <c r="D988" s="11"/>
      <c r="E988" s="12"/>
      <c r="F988" s="13"/>
      <c r="I988" s="12"/>
    </row>
  </sheetData>
  <printOptions/>
  <pageMargins bottom="1.0" footer="0.0" header="0.0" left="0.75" right="0.75" top="1.0"/>
  <pageSetup orientation="landscape"/>
  <drawing r:id="rId1"/>
</worksheet>
</file>